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ndc0-my.sharepoint.com/personal/tsinyane_lndc_org_ls/Documents/Pipelines/"/>
    </mc:Choice>
  </mc:AlternateContent>
  <xr:revisionPtr revIDLastSave="427" documentId="8_{09A955D2-EC62-434D-AC56-D6BB4B51547C}" xr6:coauthVersionLast="47" xr6:coauthVersionMax="47" xr10:uidLastSave="{BC243D55-8325-4623-A8E7-9CA12168141B}"/>
  <bookViews>
    <workbookView xWindow="-110" yWindow="-110" windowWidth="19420" windowHeight="11500" tabRatio="225" firstSheet="7" activeTab="8" xr2:uid="{F4A14811-9F27-48A7-AE51-73B3A43AFC31}"/>
  </bookViews>
  <sheets>
    <sheet name="Pipeline" sheetId="1" r:id="rId1"/>
    <sheet name="Sheet3" sheetId="16" r:id="rId2"/>
    <sheet name="Stage-Employment Dashboard" sheetId="6" r:id="rId3"/>
    <sheet name="Sector-Employment Dashboard" sheetId="7" r:id="rId4"/>
    <sheet name="NewInvest" sheetId="11" r:id="rId5"/>
    <sheet name="Estate Dashboard" sheetId="8" r:id="rId6"/>
    <sheet name="(Exp &amp; New)" sheetId="9" r:id="rId7"/>
    <sheet name="DI" sheetId="10" r:id="rId8"/>
    <sheet name="Expansion" sheetId="12" r:id="rId9"/>
    <sheet name="Implementation" sheetId="13" r:id="rId10"/>
    <sheet name="Hot prospects" sheetId="14" r:id="rId11"/>
  </sheets>
  <definedNames>
    <definedName name="_xlnm._FilterDatabase" localSheetId="0" hidden="1">Pipeline!$D$1:$D$75</definedName>
    <definedName name="_xlchart.v2.0" hidden="1">'Stage-Employment Dashboard'!$A$2:$A$6</definedName>
    <definedName name="_xlchart.v2.1" hidden="1">'Stage-Employment Dashboard'!$B$2:$B$6</definedName>
    <definedName name="_xlchart.v2.2" hidden="1">'Stage-Employment Dashboard'!$N$2:$N$6</definedName>
    <definedName name="_xlchart.v2.3" hidden="1">'Stage-Employment Dashboard'!$O$1</definedName>
    <definedName name="_xlchart.v2.4" hidden="1">'Stage-Employment Dashboard'!$O$2:$O$6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1" l="1"/>
  <c r="M20" i="1"/>
  <c r="M22" i="1"/>
  <c r="M23" i="1"/>
  <c r="M24" i="1"/>
  <c r="N8" i="8"/>
  <c r="N7" i="8"/>
  <c r="N6" i="8"/>
  <c r="N5" i="8"/>
  <c r="N4" i="8"/>
  <c r="N3" i="8"/>
  <c r="N2" i="8"/>
  <c r="C8" i="8"/>
  <c r="O8" i="8" s="1"/>
  <c r="C7" i="8"/>
  <c r="O7" i="8" s="1"/>
  <c r="C6" i="8"/>
  <c r="O6" i="8" s="1"/>
  <c r="C5" i="8"/>
  <c r="O5" i="8" s="1"/>
  <c r="C4" i="8"/>
  <c r="O4" i="8" s="1"/>
  <c r="C3" i="8"/>
  <c r="O3" i="8" s="1"/>
  <c r="C2" i="8"/>
  <c r="O2" i="8" s="1"/>
  <c r="B8" i="8"/>
  <c r="B7" i="8"/>
  <c r="B6" i="8"/>
  <c r="B5" i="8"/>
  <c r="B4" i="8"/>
  <c r="B3" i="8"/>
  <c r="B2" i="8"/>
  <c r="N8" i="7"/>
  <c r="N7" i="7"/>
  <c r="N6" i="7"/>
  <c r="N5" i="7"/>
  <c r="N4" i="7"/>
  <c r="N3" i="7"/>
  <c r="N2" i="7"/>
  <c r="B2" i="6"/>
  <c r="C2" i="6"/>
  <c r="O2" i="6" s="1"/>
  <c r="N2" i="6"/>
  <c r="B9" i="8" l="1"/>
  <c r="C9" i="8"/>
  <c r="N3" i="6"/>
  <c r="N4" i="6"/>
  <c r="N5" i="6"/>
  <c r="N6" i="6"/>
  <c r="C6" i="6"/>
  <c r="O6" i="6" s="1"/>
  <c r="B6" i="6"/>
  <c r="C5" i="6"/>
  <c r="O5" i="6" s="1"/>
  <c r="B5" i="6"/>
  <c r="C4" i="6"/>
  <c r="O4" i="6" s="1"/>
  <c r="B4" i="6"/>
  <c r="C3" i="6"/>
  <c r="O3" i="6" s="1"/>
  <c r="B3" i="6"/>
  <c r="O103" i="1"/>
  <c r="C7" i="6" l="1"/>
  <c r="B7" i="6"/>
  <c r="C7" i="7" l="1"/>
  <c r="O7" i="7" s="1"/>
  <c r="C3" i="7"/>
  <c r="O3" i="7" s="1"/>
  <c r="B3" i="7"/>
  <c r="B7" i="7"/>
  <c r="C6" i="7"/>
  <c r="O6" i="7" s="1"/>
  <c r="B6" i="7"/>
  <c r="C2" i="7"/>
  <c r="O2" i="7" s="1"/>
  <c r="C5" i="7"/>
  <c r="B2" i="7"/>
  <c r="B4" i="7"/>
  <c r="B5" i="7"/>
  <c r="C4" i="7"/>
  <c r="O4" i="7" s="1"/>
  <c r="C8" i="7"/>
  <c r="O8" i="7" s="1"/>
  <c r="B8" i="7"/>
  <c r="C9" i="7" l="1"/>
  <c r="O5" i="7"/>
  <c r="B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tc={999CA9F4-C132-4E16-AF6D-1784BA06B97A}</author>
  </authors>
  <commentList>
    <comment ref="I5" authorId="0" shapeId="0" xr:uid="{999CA9F4-C132-4E16-AF6D-1784BA06B97A}">
      <text>
        <t>[Threaded comment]
Your version of Excel allows you to read this threaded comment; however, any edits to it will get removed if the file is opened in a newer version of Excel. Learn more: https://go.microsoft.com/fwlink/?linkid=870924
Comment:
    DF to provide information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tc={81426B86-55BE-498F-B065-81A99A211729}</author>
  </authors>
  <commentList>
    <comment ref="I6" authorId="0" shapeId="0" xr:uid="{81426B86-55BE-498F-B065-81A99A211729}">
      <text>
        <t>[Threaded comment]
Your version of Excel allows you to read this threaded comment; however, any edits to it will get removed if the file is opened in a newer version of Excel. Learn more: https://go.microsoft.com/fwlink/?linkid=870924
Comment:
    DF to provide information</t>
      </text>
    </comment>
  </commentList>
</comments>
</file>

<file path=xl/sharedStrings.xml><?xml version="1.0" encoding="utf-8"?>
<sst xmlns="http://schemas.openxmlformats.org/spreadsheetml/2006/main" count="914" uniqueCount="142">
  <si>
    <t>NO</t>
  </si>
  <si>
    <t>Origin (FDI/DI)</t>
  </si>
  <si>
    <t>Company Name</t>
  </si>
  <si>
    <t>Sector</t>
  </si>
  <si>
    <t>Lead Type</t>
  </si>
  <si>
    <t>Stage</t>
  </si>
  <si>
    <t>Origin</t>
  </si>
  <si>
    <t>Required/allocated factory size sqm</t>
  </si>
  <si>
    <t>Estimated employment at full capacity</t>
  </si>
  <si>
    <t>Target Estate</t>
  </si>
  <si>
    <t>FDI</t>
  </si>
  <si>
    <t>Jonsson Workwear - Project Lesedi</t>
  </si>
  <si>
    <t>Garments</t>
  </si>
  <si>
    <t xml:space="preserve">Expansion </t>
  </si>
  <si>
    <t>Negotiation</t>
  </si>
  <si>
    <t>RSA</t>
  </si>
  <si>
    <t>Maputsoe</t>
  </si>
  <si>
    <t>Crabtree Lesotho (Pty) Ltd</t>
  </si>
  <si>
    <t>Electrical components</t>
  </si>
  <si>
    <t>Expansion</t>
  </si>
  <si>
    <t xml:space="preserve">England </t>
  </si>
  <si>
    <t xml:space="preserve">Maseru </t>
  </si>
  <si>
    <t xml:space="preserve">Basotho Leisure Wear/ TradeLink </t>
  </si>
  <si>
    <t>Completed</t>
  </si>
  <si>
    <t xml:space="preserve">South Africa </t>
  </si>
  <si>
    <t xml:space="preserve">Belo </t>
  </si>
  <si>
    <t>ZFC LIMITED</t>
  </si>
  <si>
    <t xml:space="preserve">Agro Processing </t>
  </si>
  <si>
    <t>New</t>
  </si>
  <si>
    <t>Zimbabwe</t>
  </si>
  <si>
    <t>TBD</t>
  </si>
  <si>
    <t>Belo</t>
  </si>
  <si>
    <t>DI</t>
  </si>
  <si>
    <t xml:space="preserve">Pema Holdings </t>
  </si>
  <si>
    <t>Light manufacturing</t>
  </si>
  <si>
    <t>Lesotho</t>
  </si>
  <si>
    <t>Maseru</t>
  </si>
  <si>
    <t>Unity T/A Headwear24</t>
  </si>
  <si>
    <t xml:space="preserve">Tikoe </t>
  </si>
  <si>
    <t xml:space="preserve">Novita shoes </t>
  </si>
  <si>
    <t>Footwear</t>
  </si>
  <si>
    <t>Appraisal</t>
  </si>
  <si>
    <t>Royalty Alunimium (Pty) Ltd</t>
  </si>
  <si>
    <t>Thetsane</t>
  </si>
  <si>
    <t xml:space="preserve">Mountain Kingdom Drops </t>
  </si>
  <si>
    <t>Water Bottling</t>
  </si>
  <si>
    <t xml:space="preserve">FDI </t>
  </si>
  <si>
    <t xml:space="preserve">Liberation clothing </t>
  </si>
  <si>
    <t xml:space="preserve">DI </t>
  </si>
  <si>
    <t xml:space="preserve">MG commodities </t>
  </si>
  <si>
    <t xml:space="preserve">Lesotho </t>
  </si>
  <si>
    <t>ROVD Lesotho (Pty) Ltd</t>
  </si>
  <si>
    <t>Automotive</t>
  </si>
  <si>
    <t>South Africa</t>
  </si>
  <si>
    <t>TSH Manufacturing (Pty) Ltd</t>
  </si>
  <si>
    <t xml:space="preserve">New </t>
  </si>
  <si>
    <t xml:space="preserve">Maputsoe </t>
  </si>
  <si>
    <t>Cosmetics Hub</t>
  </si>
  <si>
    <t>Spices &amp; Herbs Hub</t>
  </si>
  <si>
    <t xml:space="preserve">Bokamoso Impact investments </t>
  </si>
  <si>
    <t xml:space="preserve">South- Africa </t>
  </si>
  <si>
    <t>N/A</t>
  </si>
  <si>
    <t>Tradeline Corperation</t>
  </si>
  <si>
    <t>Malawi</t>
  </si>
  <si>
    <t>M/Hoek</t>
  </si>
  <si>
    <t xml:space="preserve">DGK manufacturing </t>
  </si>
  <si>
    <t xml:space="preserve">Garments </t>
  </si>
  <si>
    <t xml:space="preserve">Lucky Manufacturing Expansion </t>
  </si>
  <si>
    <t>China</t>
  </si>
  <si>
    <t xml:space="preserve">Leo Garments </t>
  </si>
  <si>
    <t xml:space="preserve">Booming Lai </t>
  </si>
  <si>
    <t>Sail Start</t>
  </si>
  <si>
    <t>Implementation</t>
  </si>
  <si>
    <t>Joans Enterprise</t>
  </si>
  <si>
    <t>Lesotho Hanma Clothing Co. Ltd</t>
  </si>
  <si>
    <t xml:space="preserve">Blaze Leather </t>
  </si>
  <si>
    <t>Leather Bags</t>
  </si>
  <si>
    <t>Quandrad Link</t>
  </si>
  <si>
    <t>Apparel</t>
  </si>
  <si>
    <t>Count of Stage</t>
  </si>
  <si>
    <t>Sum of Estimated Employment at Full Capacity</t>
  </si>
  <si>
    <t>Est. Employment</t>
  </si>
  <si>
    <t>Shelved</t>
  </si>
  <si>
    <t>Grand Total</t>
  </si>
  <si>
    <t>Count of Companies</t>
  </si>
  <si>
    <t>Estimated Employment at Full Capacity</t>
  </si>
  <si>
    <t>Agro Processing</t>
  </si>
  <si>
    <t>Province</t>
  </si>
  <si>
    <t>Kwazulu Natal</t>
  </si>
  <si>
    <t>Eastern Cape</t>
  </si>
  <si>
    <t>Gauteng</t>
  </si>
  <si>
    <t>Lesotho Hanma Clothing Co. Ltd(jiama)</t>
  </si>
  <si>
    <t>KwaZulu Natal</t>
  </si>
  <si>
    <t>FDI&amp;DI</t>
  </si>
  <si>
    <t>Cannabis Oil Lesotho</t>
  </si>
  <si>
    <t xml:space="preserve">Agric &amp; Agro Processing </t>
  </si>
  <si>
    <t>Macedonia</t>
  </si>
  <si>
    <t>Masianokeng Cannery</t>
  </si>
  <si>
    <t xml:space="preserve">Trinity Clothing Manufacturing </t>
  </si>
  <si>
    <t>Kwazulu-Natal</t>
  </si>
  <si>
    <t>QBO Trading</t>
  </si>
  <si>
    <t>Vine Apparel</t>
  </si>
  <si>
    <t xml:space="preserve">Appraisal </t>
  </si>
  <si>
    <t>Khan &amp; Min Trading</t>
  </si>
  <si>
    <t>Total</t>
  </si>
  <si>
    <t>Country</t>
  </si>
  <si>
    <t>Company</t>
  </si>
  <si>
    <t>SA</t>
  </si>
  <si>
    <t>China(Madagascar)</t>
  </si>
  <si>
    <t>Est. Employment at Full Capacity</t>
  </si>
  <si>
    <t>Tikoe</t>
  </si>
  <si>
    <t>Adient</t>
  </si>
  <si>
    <t>Lesotho Hanma Clothing Co. Ltd(Jiama)</t>
  </si>
  <si>
    <t>Quand Link</t>
  </si>
  <si>
    <t>Masianokeng</t>
  </si>
  <si>
    <t>Abroad</t>
  </si>
  <si>
    <t xml:space="preserve">SailStart </t>
  </si>
  <si>
    <t>Maseru Industrial</t>
  </si>
  <si>
    <t>No.</t>
  </si>
  <si>
    <t>England</t>
  </si>
  <si>
    <t>Nyenye</t>
  </si>
  <si>
    <t>Sail Start Expansion</t>
  </si>
  <si>
    <t xml:space="preserve">Printing </t>
  </si>
  <si>
    <t>Maputose</t>
  </si>
  <si>
    <t xml:space="preserve">Initial Employment (Q1) </t>
  </si>
  <si>
    <t>Q2</t>
  </si>
  <si>
    <t>Q3</t>
  </si>
  <si>
    <t>Q4</t>
  </si>
  <si>
    <t xml:space="preserve">AllocatedSpace </t>
  </si>
  <si>
    <t>Strategic Nature</t>
  </si>
  <si>
    <t>East London</t>
  </si>
  <si>
    <t>Diversification</t>
  </si>
  <si>
    <t>Shining Century(Crabtree)</t>
  </si>
  <si>
    <t>Employment</t>
  </si>
  <si>
    <t>Thetsane(Leadsun)</t>
  </si>
  <si>
    <t>QuandLink</t>
  </si>
  <si>
    <t>MacroSource</t>
  </si>
  <si>
    <t xml:space="preserve">Lucky Manufacturing </t>
  </si>
  <si>
    <t>Own Build(Tikoe)/Seshoeshoe</t>
  </si>
  <si>
    <t>Own Build(Tikoe)</t>
  </si>
  <si>
    <t>PE</t>
  </si>
  <si>
    <t>Monfoods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</si>
</sst>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sz val="9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9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b/>
      <sz val="12"/>
      <color rgb="FF000000"/>
      <name val="Arial Narrow"/>
      <family val="2"/>
    </font>
    <font>
      <b/>
      <sz val="11"/>
      <color rgb="FFFFFFFF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Arial Narrow"/>
      <family val="2"/>
    </font>
    <font>
      <sz val="11"/>
      <name val="Arial Narrow"/>
      <family val="2"/>
    </font>
    <font>
      <sz val="11"/>
      <color rgb="FFFF0000"/>
      <name val="Calibri"/>
      <family val="2"/>
      <scheme val="minor"/>
    </font>
    <font>
      <sz val="12"/>
      <color rgb="FFFF0000"/>
      <name val="Arial Narrow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0" borderId="0" xfId="0" applyFont="1" applyAlignment="1">
      <alignment horizontal="justify" vertical="center" wrapText="1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3" borderId="0" xfId="0" applyFont="1" applyFill="1"/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right" vertic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1" fillId="0" borderId="2" xfId="0" applyFont="1" applyBorder="1"/>
    <xf numFmtId="0" fontId="1" fillId="3" borderId="1" xfId="0" applyFont="1" applyFill="1" applyBorder="1"/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right" vertical="center"/>
    </xf>
    <xf numFmtId="0" fontId="1" fillId="0" borderId="3" xfId="0" applyFont="1" applyBorder="1" applyAlignment="1">
      <alignment wrapText="1"/>
    </xf>
    <xf numFmtId="0" fontId="6" fillId="0" borderId="1" xfId="0" applyFont="1" applyBorder="1" applyAlignment="1">
      <alignment horizontal="justify" vertical="center" wrapText="1"/>
    </xf>
    <xf numFmtId="3" fontId="0" fillId="0" borderId="0" xfId="0" applyNumberFormat="1"/>
    <xf numFmtId="0" fontId="0" fillId="0" borderId="4" xfId="0" applyBorder="1"/>
    <xf numFmtId="3" fontId="0" fillId="0" borderId="4" xfId="0" applyNumberFormat="1" applyBorder="1"/>
    <xf numFmtId="0" fontId="0" fillId="0" borderId="5" xfId="0" applyBorder="1"/>
    <xf numFmtId="3" fontId="0" fillId="0" borderId="5" xfId="0" applyNumberFormat="1" applyBorder="1"/>
    <xf numFmtId="0" fontId="3" fillId="0" borderId="6" xfId="0" applyFont="1" applyBorder="1"/>
    <xf numFmtId="3" fontId="3" fillId="0" borderId="6" xfId="0" applyNumberFormat="1" applyFont="1" applyBorder="1"/>
    <xf numFmtId="0" fontId="8" fillId="4" borderId="4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center"/>
    </xf>
    <xf numFmtId="0" fontId="3" fillId="0" borderId="4" xfId="0" applyFont="1" applyBorder="1"/>
    <xf numFmtId="3" fontId="3" fillId="0" borderId="4" xfId="0" applyNumberFormat="1" applyFont="1" applyBorder="1"/>
    <xf numFmtId="0" fontId="8" fillId="4" borderId="4" xfId="0" applyFont="1" applyFill="1" applyBorder="1" applyAlignment="1">
      <alignment horizontal="center" wrapText="1"/>
    </xf>
    <xf numFmtId="0" fontId="0" fillId="0" borderId="1" xfId="0" applyBorder="1"/>
    <xf numFmtId="0" fontId="1" fillId="0" borderId="0" xfId="0" applyFont="1" applyAlignment="1">
      <alignment vertical="top" wrapText="1"/>
    </xf>
    <xf numFmtId="0" fontId="6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1" fillId="3" borderId="0" xfId="0" applyFont="1" applyFill="1" applyAlignment="1">
      <alignment wrapText="1"/>
    </xf>
    <xf numFmtId="0" fontId="7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justify" vertical="center" wrapText="1"/>
    </xf>
    <xf numFmtId="0" fontId="11" fillId="0" borderId="1" xfId="0" applyFont="1" applyBorder="1"/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wrapText="1"/>
    </xf>
    <xf numFmtId="0" fontId="11" fillId="2" borderId="0" xfId="0" applyFont="1" applyFill="1"/>
    <xf numFmtId="0" fontId="5" fillId="3" borderId="0" xfId="0" applyFont="1" applyFill="1"/>
    <xf numFmtId="0" fontId="0" fillId="3" borderId="1" xfId="0" applyFill="1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7" fillId="0" borderId="1" xfId="0" applyFont="1" applyBorder="1" applyAlignment="1">
      <alignment horizontal="justify" vertical="center" wrapText="1"/>
    </xf>
    <xf numFmtId="0" fontId="15" fillId="3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vertical="center"/>
    </xf>
    <xf numFmtId="0" fontId="15" fillId="0" borderId="1" xfId="0" applyFont="1" applyBorder="1" applyAlignment="1">
      <alignment wrapText="1"/>
    </xf>
    <xf numFmtId="0" fontId="14" fillId="3" borderId="0" xfId="0" applyFont="1" applyFill="1"/>
    <xf numFmtId="0" fontId="15" fillId="0" borderId="1" xfId="0" applyFont="1" applyBorder="1" applyAlignment="1">
      <alignment vertical="top" wrapText="1"/>
    </xf>
    <xf numFmtId="0" fontId="5" fillId="3" borderId="1" xfId="0" applyFont="1" applyFill="1" applyBorder="1"/>
    <xf numFmtId="0" fontId="11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13" fillId="0" borderId="0" xfId="0" applyFont="1"/>
    <xf numFmtId="0" fontId="6" fillId="3" borderId="8" xfId="0" applyFont="1" applyFill="1" applyBorder="1" applyAlignment="1">
      <alignment vertical="center"/>
    </xf>
    <xf numFmtId="0" fontId="13" fillId="0" borderId="8" xfId="0" applyFont="1" applyBorder="1"/>
    <xf numFmtId="0" fontId="1" fillId="3" borderId="8" xfId="0" applyFont="1" applyFill="1" applyBorder="1"/>
    <xf numFmtId="0" fontId="6" fillId="0" borderId="8" xfId="0" applyFont="1" applyBorder="1" applyAlignment="1">
      <alignment vertical="center"/>
    </xf>
    <xf numFmtId="0" fontId="1" fillId="3" borderId="8" xfId="0" applyFont="1" applyFill="1" applyBorder="1" applyAlignment="1">
      <alignment wrapText="1"/>
    </xf>
    <xf numFmtId="0" fontId="5" fillId="0" borderId="8" xfId="0" applyFont="1" applyBorder="1"/>
    <xf numFmtId="0" fontId="1" fillId="3" borderId="7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6" fillId="3" borderId="7" xfId="0" applyFont="1" applyFill="1" applyBorder="1" applyAlignment="1">
      <alignment vertical="center"/>
    </xf>
    <xf numFmtId="0" fontId="13" fillId="0" borderId="7" xfId="0" applyFont="1" applyBorder="1"/>
    <xf numFmtId="0" fontId="1" fillId="3" borderId="7" xfId="0" applyFont="1" applyFill="1" applyBorder="1"/>
    <xf numFmtId="0" fontId="6" fillId="0" borderId="7" xfId="0" applyFont="1" applyBorder="1" applyAlignment="1">
      <alignment vertical="center"/>
    </xf>
    <xf numFmtId="0" fontId="1" fillId="3" borderId="7" xfId="0" applyFont="1" applyFill="1" applyBorder="1" applyAlignment="1">
      <alignment wrapText="1"/>
    </xf>
    <xf numFmtId="0" fontId="5" fillId="0" borderId="7" xfId="0" applyFont="1" applyBorder="1"/>
    <xf numFmtId="0" fontId="1" fillId="3" borderId="9" xfId="0" applyFont="1" applyFill="1" applyBorder="1" applyAlignment="1">
      <alignment vertical="top" wrapText="1"/>
    </xf>
    <xf numFmtId="0" fontId="0" fillId="0" borderId="9" xfId="0" applyBorder="1"/>
    <xf numFmtId="0" fontId="0" fillId="0" borderId="10" xfId="0" applyBorder="1"/>
    <xf numFmtId="0" fontId="6" fillId="3" borderId="10" xfId="0" applyFont="1" applyFill="1" applyBorder="1" applyAlignment="1">
      <alignment vertical="center"/>
    </xf>
    <xf numFmtId="0" fontId="1" fillId="0" borderId="9" xfId="0" applyFont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6" fillId="0" borderId="11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0" fillId="0" borderId="12" xfId="0" applyBorder="1"/>
    <xf numFmtId="0" fontId="6" fillId="0" borderId="0" xfId="0" applyFont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0" fillId="0" borderId="7" xfId="0" applyBorder="1" applyAlignment="1">
      <alignment wrapText="1"/>
    </xf>
    <xf numFmtId="0" fontId="3" fillId="0" borderId="7" xfId="0" applyFont="1" applyBorder="1"/>
    <xf numFmtId="0" fontId="1" fillId="3" borderId="13" xfId="0" applyFont="1" applyFill="1" applyBorder="1" applyAlignment="1">
      <alignment vertical="top" wrapText="1"/>
    </xf>
    <xf numFmtId="0" fontId="10" fillId="0" borderId="7" xfId="0" applyFont="1" applyBorder="1"/>
    <xf numFmtId="0" fontId="0" fillId="0" borderId="2" xfId="0" applyBorder="1"/>
    <xf numFmtId="0" fontId="6" fillId="3" borderId="7" xfId="0" applyFont="1" applyFill="1" applyBorder="1" applyAlignment="1">
      <alignment vertical="center" wrapText="1"/>
    </xf>
    <xf numFmtId="0" fontId="6" fillId="3" borderId="7" xfId="0" applyFont="1" applyFill="1" applyBorder="1"/>
    <xf numFmtId="0" fontId="5" fillId="0" borderId="10" xfId="0" applyFont="1" applyBorder="1"/>
    <xf numFmtId="0" fontId="5" fillId="0" borderId="12" xfId="0" applyFont="1" applyBorder="1"/>
    <xf numFmtId="0" fontId="0" fillId="0" borderId="7" xfId="0" applyFont="1" applyBorder="1"/>
    <xf numFmtId="0" fontId="0" fillId="0" borderId="9" xfId="0" applyFont="1" applyBorder="1"/>
    <xf numFmtId="0" fontId="0" fillId="3" borderId="9" xfId="0" applyFill="1" applyBorder="1"/>
    <xf numFmtId="0" fontId="16" fillId="2" borderId="9" xfId="0" applyFont="1" applyFill="1" applyBorder="1"/>
    <xf numFmtId="0" fontId="7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/>
    </xf>
    <xf numFmtId="0" fontId="1" fillId="5" borderId="1" xfId="0" applyFont="1" applyFill="1" applyBorder="1"/>
    <xf numFmtId="0" fontId="6" fillId="5" borderId="1" xfId="0" applyFont="1" applyFill="1" applyBorder="1" applyAlignment="1">
      <alignment vertical="center" wrapText="1"/>
    </xf>
    <xf numFmtId="0" fontId="1" fillId="5" borderId="2" xfId="0" applyFont="1" applyFill="1" applyBorder="1"/>
    <xf numFmtId="0" fontId="13" fillId="5" borderId="8" xfId="0" applyFont="1" applyFill="1" applyBorder="1"/>
    <xf numFmtId="0" fontId="0" fillId="5" borderId="9" xfId="0" applyFill="1" applyBorder="1" applyAlignment="1">
      <alignment wrapText="1"/>
    </xf>
    <xf numFmtId="0" fontId="13" fillId="5" borderId="7" xfId="0" applyFont="1" applyFill="1" applyBorder="1"/>
    <xf numFmtId="0" fontId="13" fillId="5" borderId="0" xfId="0" applyFont="1" applyFill="1"/>
    <xf numFmtId="0" fontId="0" fillId="5" borderId="0" xfId="0" applyFill="1"/>
    <xf numFmtId="0" fontId="6" fillId="5" borderId="8" xfId="0" applyFont="1" applyFill="1" applyBorder="1" applyAlignment="1">
      <alignment vertical="center"/>
    </xf>
    <xf numFmtId="0" fontId="0" fillId="5" borderId="9" xfId="0" applyFill="1" applyBorder="1"/>
    <xf numFmtId="0" fontId="6" fillId="5" borderId="7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6" fillId="5" borderId="1" xfId="0" applyFont="1" applyFill="1" applyBorder="1" applyAlignment="1">
      <alignment horizontal="right" vertical="center"/>
    </xf>
    <xf numFmtId="0" fontId="5" fillId="5" borderId="8" xfId="0" applyFont="1" applyFill="1" applyBorder="1"/>
    <xf numFmtId="0" fontId="5" fillId="5" borderId="7" xfId="0" applyFont="1" applyFill="1" applyBorder="1"/>
    <xf numFmtId="0" fontId="5" fillId="5" borderId="0" xfId="0" applyFont="1" applyFill="1"/>
    <xf numFmtId="0" fontId="1" fillId="5" borderId="1" xfId="0" applyFont="1" applyFill="1" applyBorder="1" applyAlignment="1">
      <alignment wrapText="1"/>
    </xf>
    <xf numFmtId="0" fontId="1" fillId="5" borderId="8" xfId="0" applyFont="1" applyFill="1" applyBorder="1" applyAlignment="1">
      <alignment wrapText="1"/>
    </xf>
    <xf numFmtId="0" fontId="1" fillId="5" borderId="7" xfId="0" applyFont="1" applyFill="1" applyBorder="1" applyAlignment="1">
      <alignment wrapText="1"/>
    </xf>
    <xf numFmtId="0" fontId="1" fillId="5" borderId="0" xfId="0" applyFont="1" applyFill="1" applyAlignment="1">
      <alignment wrapText="1"/>
    </xf>
    <xf numFmtId="0" fontId="6" fillId="5" borderId="8" xfId="0" applyFont="1" applyFill="1" applyBorder="1" applyAlignment="1">
      <alignment vertical="center" wrapText="1"/>
    </xf>
    <xf numFmtId="0" fontId="6" fillId="5" borderId="7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right" vertical="center" wrapText="1"/>
    </xf>
    <xf numFmtId="0" fontId="0" fillId="5" borderId="7" xfId="0" applyFill="1" applyBorder="1"/>
    <xf numFmtId="0" fontId="0" fillId="5" borderId="12" xfId="0" applyFill="1" applyBorder="1"/>
    <xf numFmtId="0" fontId="11" fillId="5" borderId="2" xfId="0" applyFont="1" applyFill="1" applyBorder="1"/>
    <xf numFmtId="0" fontId="0" fillId="5" borderId="7" xfId="0" applyFill="1" applyBorder="1" applyAlignment="1">
      <alignment wrapText="1"/>
    </xf>
    <xf numFmtId="0" fontId="0" fillId="5" borderId="1" xfId="0" applyFill="1" applyBorder="1"/>
    <xf numFmtId="0" fontId="6" fillId="5" borderId="8" xfId="0" applyFont="1" applyFill="1" applyBorder="1" applyAlignment="1">
      <alignment horizontal="right" vertical="center"/>
    </xf>
    <xf numFmtId="0" fontId="3" fillId="5" borderId="12" xfId="0" applyFont="1" applyFill="1" applyBorder="1"/>
    <xf numFmtId="0" fontId="3" fillId="5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Estimated Employment at Full Capacity by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'Sector-Employment Dashboard'!$O$1</c:f>
              <c:strCache>
                <c:ptCount val="1"/>
                <c:pt idx="0">
                  <c:v>Estimated Employment at Full Capacity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'Sector-Employment Dashboard'!$N$2:$N$8</c:f>
              <c:strCache>
                <c:ptCount val="7"/>
                <c:pt idx="0">
                  <c:v>Garments</c:v>
                </c:pt>
                <c:pt idx="1">
                  <c:v>Agro Processing</c:v>
                </c:pt>
                <c:pt idx="2">
                  <c:v>Light manufacturing</c:v>
                </c:pt>
                <c:pt idx="3">
                  <c:v>Automotive</c:v>
                </c:pt>
                <c:pt idx="4">
                  <c:v>Footwear</c:v>
                </c:pt>
                <c:pt idx="5">
                  <c:v>Water Bottling</c:v>
                </c:pt>
                <c:pt idx="6">
                  <c:v>Electrical components</c:v>
                </c:pt>
              </c:strCache>
            </c:strRef>
          </c:cat>
          <c:val>
            <c:numRef>
              <c:f>'Sector-Employment Dashboard'!$O$2:$O$8</c:f>
              <c:numCache>
                <c:formatCode>#,##0</c:formatCode>
                <c:ptCount val="7"/>
                <c:pt idx="0">
                  <c:v>6750</c:v>
                </c:pt>
                <c:pt idx="1">
                  <c:v>480</c:v>
                </c:pt>
                <c:pt idx="2">
                  <c:v>450</c:v>
                </c:pt>
                <c:pt idx="3">
                  <c:v>70</c:v>
                </c:pt>
                <c:pt idx="4">
                  <c:v>250</c:v>
                </c:pt>
                <c:pt idx="5">
                  <c:v>27</c:v>
                </c:pt>
                <c:pt idx="6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7-4B4F-A61F-2CB9E4195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4546127"/>
        <c:axId val="270725135"/>
      </c:barChart>
      <c:catAx>
        <c:axId val="1394546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S"/>
          </a:p>
        </c:txPr>
        <c:crossAx val="270725135"/>
        <c:crosses val="autoZero"/>
        <c:auto val="1"/>
        <c:lblAlgn val="ctr"/>
        <c:lblOffset val="100"/>
        <c:noMultiLvlLbl val="0"/>
      </c:catAx>
      <c:valAx>
        <c:axId val="27072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S"/>
          </a:p>
        </c:txPr>
        <c:crossAx val="139454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Estimated Employment at Full Capacity by Target Estate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'Estate Dashboard'!$O$1</c:f>
              <c:strCache>
                <c:ptCount val="1"/>
                <c:pt idx="0">
                  <c:v>Est. Employment at Full Capacity</c:v>
                </c:pt>
              </c:strCache>
            </c:strRef>
          </c:tx>
          <c:spPr>
            <a:solidFill>
              <a:srgbClr val="1F4E78"/>
            </a:solidFill>
            <a:ln>
              <a:noFill/>
            </a:ln>
            <a:effectLst/>
          </c:spPr>
          <c:invertIfNegative val="0"/>
          <c:cat>
            <c:strRef>
              <c:f>'Estate Dashboard'!$N$2:$N$8</c:f>
              <c:strCache>
                <c:ptCount val="7"/>
                <c:pt idx="0">
                  <c:v>Tikoe</c:v>
                </c:pt>
                <c:pt idx="1">
                  <c:v>Belo</c:v>
                </c:pt>
                <c:pt idx="2">
                  <c:v>Maputsoe</c:v>
                </c:pt>
                <c:pt idx="3">
                  <c:v>Maseru</c:v>
                </c:pt>
                <c:pt idx="4">
                  <c:v>Thetsane</c:v>
                </c:pt>
                <c:pt idx="5">
                  <c:v>M/Hoek</c:v>
                </c:pt>
                <c:pt idx="6">
                  <c:v>N/A</c:v>
                </c:pt>
              </c:strCache>
            </c:strRef>
          </c:cat>
          <c:val>
            <c:numRef>
              <c:f>'Estate Dashboard'!$O$2:$O$8</c:f>
              <c:numCache>
                <c:formatCode>#,##0</c:formatCode>
                <c:ptCount val="7"/>
                <c:pt idx="0">
                  <c:v>5227</c:v>
                </c:pt>
                <c:pt idx="1">
                  <c:v>3450</c:v>
                </c:pt>
                <c:pt idx="2">
                  <c:v>1100</c:v>
                </c:pt>
                <c:pt idx="3">
                  <c:v>400</c:v>
                </c:pt>
                <c:pt idx="4">
                  <c:v>400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B-41F2-B4BF-EB16E6835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5443119"/>
        <c:axId val="1048353295"/>
      </c:barChart>
      <c:catAx>
        <c:axId val="124544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S"/>
          </a:p>
        </c:txPr>
        <c:crossAx val="1048353295"/>
        <c:crosses val="autoZero"/>
        <c:auto val="1"/>
        <c:lblAlgn val="ctr"/>
        <c:lblOffset val="100"/>
        <c:noMultiLvlLbl val="0"/>
      </c:catAx>
      <c:valAx>
        <c:axId val="104835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S"/>
          </a:p>
        </c:txPr>
        <c:crossAx val="124544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Stage (Count)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Stage (Count)</a:t>
          </a:r>
        </a:p>
      </cx:txPr>
    </cx:title>
    <cx:plotArea>
      <cx:plotAreaRegion>
        <cx:series layoutId="funnel" uniqueId="{00000001-B46C-413A-9133-DB6129C45B07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_xlchart.v2.4</cx:f>
      </cx:numDim>
    </cx:data>
  </cx:chartData>
  <cx:chart>
    <cx:title pos="t" align="ctr" overlay="0">
      <cx:tx>
        <cx:txData>
          <cx:v>Stage (Est. Employment at Full Capacity)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Stage (Est. Employment at Full Capacity)</a:t>
          </a:r>
        </a:p>
      </cx:txPr>
    </cx:title>
    <cx:plotArea>
      <cx:plotAreaRegion>
        <cx:series layoutId="funnel" uniqueId="{00000001-6744-4D2D-920A-3480E5D81294}">
          <cx:tx>
            <cx:txData>
              <cx:f>_xlchart.v2.3</cx:f>
              <cx:v>Est. Employment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</xdr:colOff>
      <xdr:row>7</xdr:row>
      <xdr:rowOff>69850</xdr:rowOff>
    </xdr:from>
    <xdr:to>
      <xdr:col>1</xdr:col>
      <xdr:colOff>1089660</xdr:colOff>
      <xdr:row>19</xdr:row>
      <xdr:rowOff>69850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9F6CDE5-2A9B-FAFA-592B-37A9250584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1234440</xdr:colOff>
      <xdr:row>7</xdr:row>
      <xdr:rowOff>86360</xdr:rowOff>
    </xdr:from>
    <xdr:to>
      <xdr:col>2</xdr:col>
      <xdr:colOff>3299460</xdr:colOff>
      <xdr:row>19</xdr:row>
      <xdr:rowOff>46990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E0B48E3-46B8-D5ED-1511-2A3E0C4A36A0}"/>
                </a:ext>
                <a:ext uri="{147F2762-F138-4A5C-976F-8EAC2B608ADB}">
                  <a16:predDERef xmlns:a16="http://schemas.microsoft.com/office/drawing/2014/main" pred="{69F6CDE5-2A9B-FAFA-592B-37A9250584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0</xdr:row>
      <xdr:rowOff>0</xdr:rowOff>
    </xdr:from>
    <xdr:to>
      <xdr:col>11</xdr:col>
      <xdr:colOff>160020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C0CF86-B540-BF25-BEDD-2876BB2CE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237452-67C7-3F49-3732-5631FB87B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eketsi Khuele" id="{EB8AB437-1C1C-4390-95CB-5C75D535B975}" userId="S::khuele@lndc.org.ls::c179b13d-324d-487f-9351-f02a6348ac9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5" dT="2026-06-05T09:20:31.19" personId="{EB8AB437-1C1C-4390-95CB-5C75D535B975}" id="{999CA9F4-C132-4E16-AF6D-1784BA06B97A}">
    <text>DF to provide information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6" dT="2026-06-05T09:20:31.19" personId="{EB8AB437-1C1C-4390-95CB-5C75D535B975}" id="{81426B86-55BE-498F-B065-81A99A211729}">
    <text>DF to provide information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61B7655-5D79-4E79-B219-920063CB8E8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4241b33-6dc6-4ed6-b940-898c904789d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C1A62-49D8-435E-B95F-2A3D6972F781}">
  <dimension ref="A1:O103"/>
  <sheetViews>
    <sheetView zoomScale="90" zoomScaleNormal="90" workbookViewId="0">
      <pane ySplit="1" topLeftCell="A7" activePane="bottomLeft" state="frozen"/>
      <selection pane="bottomLeft" activeCell="F19" sqref="F19"/>
    </sheetView>
  </sheetViews>
  <sheetFormatPr defaultRowHeight="14.45"/>
  <cols>
    <col min="1" max="1" width="8.85546875" style="4"/>
    <col min="3" max="3" width="31.140625" bestFit="1" customWidth="1"/>
    <col min="4" max="4" width="22.5703125" bestFit="1" customWidth="1"/>
    <col min="5" max="5" width="10.5703125" bestFit="1" customWidth="1"/>
    <col min="6" max="6" width="28.140625" customWidth="1"/>
    <col min="7" max="7" width="14.140625" bestFit="1" customWidth="1"/>
    <col min="8" max="8" width="22.42578125" bestFit="1" customWidth="1"/>
    <col min="9" max="9" width="13.140625" customWidth="1"/>
    <col min="10" max="10" width="12.85546875" customWidth="1"/>
  </cols>
  <sheetData>
    <row r="1" spans="1:10" ht="48" customHeight="1">
      <c r="A1" s="26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spans="1:10" ht="39" customHeight="1">
      <c r="A2" s="10">
        <v>1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13">
        <v>30000</v>
      </c>
      <c r="I2" s="13">
        <v>1000</v>
      </c>
      <c r="J2" s="17" t="s">
        <v>16</v>
      </c>
    </row>
    <row r="3" spans="1:10" s="6" customFormat="1" ht="33.75" customHeight="1">
      <c r="A3" s="9">
        <v>2</v>
      </c>
      <c r="B3" s="22" t="s">
        <v>10</v>
      </c>
      <c r="C3" s="21" t="s">
        <v>17</v>
      </c>
      <c r="D3" s="21" t="s">
        <v>18</v>
      </c>
      <c r="E3" s="22" t="s">
        <v>19</v>
      </c>
      <c r="F3" s="22" t="s">
        <v>14</v>
      </c>
      <c r="G3" s="22" t="s">
        <v>20</v>
      </c>
      <c r="H3" s="24">
        <v>1000</v>
      </c>
      <c r="I3" s="21">
        <v>350</v>
      </c>
      <c r="J3" s="17" t="s">
        <v>21</v>
      </c>
    </row>
    <row r="4" spans="1:10" s="61" customFormat="1" ht="36.6" customHeight="1">
      <c r="A4" s="62">
        <v>3</v>
      </c>
      <c r="B4" s="58" t="s">
        <v>10</v>
      </c>
      <c r="C4" s="59" t="s">
        <v>22</v>
      </c>
      <c r="D4" s="59" t="s">
        <v>12</v>
      </c>
      <c r="E4" s="58" t="s">
        <v>13</v>
      </c>
      <c r="F4" s="58" t="s">
        <v>23</v>
      </c>
      <c r="G4" s="58" t="s">
        <v>24</v>
      </c>
      <c r="H4" s="59">
        <v>10000</v>
      </c>
      <c r="I4" s="59">
        <v>1200</v>
      </c>
      <c r="J4" s="60" t="s">
        <v>25</v>
      </c>
    </row>
    <row r="5" spans="1:10" s="6" customFormat="1" ht="24.95" customHeight="1">
      <c r="A5" s="9">
        <v>4</v>
      </c>
      <c r="B5" s="21" t="s">
        <v>10</v>
      </c>
      <c r="C5" s="21" t="s">
        <v>26</v>
      </c>
      <c r="D5" s="21" t="s">
        <v>27</v>
      </c>
      <c r="E5" s="21" t="s">
        <v>28</v>
      </c>
      <c r="F5" s="22" t="s">
        <v>14</v>
      </c>
      <c r="G5" s="22" t="s">
        <v>29</v>
      </c>
      <c r="H5" s="21" t="s">
        <v>30</v>
      </c>
      <c r="I5" s="21">
        <v>0</v>
      </c>
      <c r="J5" s="17" t="s">
        <v>31</v>
      </c>
    </row>
    <row r="6" spans="1:10" ht="24" customHeight="1">
      <c r="A6" s="10">
        <v>5</v>
      </c>
      <c r="B6" s="7" t="s">
        <v>32</v>
      </c>
      <c r="C6" s="7" t="s">
        <v>33</v>
      </c>
      <c r="D6" s="7" t="s">
        <v>34</v>
      </c>
      <c r="E6" s="7" t="s">
        <v>28</v>
      </c>
      <c r="F6" s="8" t="s">
        <v>23</v>
      </c>
      <c r="G6" s="8" t="s">
        <v>35</v>
      </c>
      <c r="H6" s="7">
        <v>1000</v>
      </c>
      <c r="I6" s="15">
        <v>50</v>
      </c>
      <c r="J6" s="17" t="s">
        <v>36</v>
      </c>
    </row>
    <row r="7" spans="1:10" ht="24" customHeight="1">
      <c r="A7" s="9">
        <v>6</v>
      </c>
      <c r="B7" s="7" t="s">
        <v>10</v>
      </c>
      <c r="C7" s="7" t="s">
        <v>37</v>
      </c>
      <c r="D7" s="7" t="s">
        <v>12</v>
      </c>
      <c r="E7" s="7" t="s">
        <v>28</v>
      </c>
      <c r="F7" s="8" t="s">
        <v>23</v>
      </c>
      <c r="G7" s="8" t="s">
        <v>15</v>
      </c>
      <c r="H7" s="7">
        <v>3000</v>
      </c>
      <c r="I7" s="15">
        <v>300</v>
      </c>
      <c r="J7" s="17" t="s">
        <v>38</v>
      </c>
    </row>
    <row r="8" spans="1:10" ht="15.6">
      <c r="A8" s="10">
        <v>7</v>
      </c>
      <c r="B8" s="7" t="s">
        <v>10</v>
      </c>
      <c r="C8" s="7" t="s">
        <v>39</v>
      </c>
      <c r="D8" s="7" t="s">
        <v>40</v>
      </c>
      <c r="E8" s="7" t="s">
        <v>28</v>
      </c>
      <c r="F8" s="8" t="s">
        <v>41</v>
      </c>
      <c r="G8" s="8" t="s">
        <v>15</v>
      </c>
      <c r="H8" s="7">
        <v>2000</v>
      </c>
      <c r="I8" s="7">
        <v>250</v>
      </c>
      <c r="J8" s="17" t="s">
        <v>31</v>
      </c>
    </row>
    <row r="9" spans="1:10" ht="15.6">
      <c r="A9" s="9">
        <v>8</v>
      </c>
      <c r="B9" s="7" t="s">
        <v>32</v>
      </c>
      <c r="C9" s="16" t="s">
        <v>42</v>
      </c>
      <c r="D9" s="16" t="s">
        <v>34</v>
      </c>
      <c r="E9" s="16" t="s">
        <v>28</v>
      </c>
      <c r="F9" s="20" t="s">
        <v>23</v>
      </c>
      <c r="G9" s="16" t="s">
        <v>35</v>
      </c>
      <c r="H9" s="16">
        <v>3000</v>
      </c>
      <c r="I9" s="16">
        <v>400</v>
      </c>
      <c r="J9" s="17" t="s">
        <v>43</v>
      </c>
    </row>
    <row r="10" spans="1:10" ht="15.6">
      <c r="A10" s="10">
        <v>9</v>
      </c>
      <c r="B10" s="7" t="s">
        <v>32</v>
      </c>
      <c r="C10" s="16" t="s">
        <v>44</v>
      </c>
      <c r="D10" s="16" t="s">
        <v>45</v>
      </c>
      <c r="E10" s="16" t="s">
        <v>28</v>
      </c>
      <c r="F10" s="20" t="s">
        <v>41</v>
      </c>
      <c r="G10" s="16" t="s">
        <v>35</v>
      </c>
      <c r="H10" s="16">
        <v>500</v>
      </c>
      <c r="I10" s="16">
        <v>27</v>
      </c>
      <c r="J10" s="17" t="s">
        <v>38</v>
      </c>
    </row>
    <row r="11" spans="1:10" s="6" customFormat="1" ht="15.6">
      <c r="A11" s="9">
        <v>10</v>
      </c>
      <c r="B11" s="21" t="s">
        <v>46</v>
      </c>
      <c r="C11" s="20" t="s">
        <v>47</v>
      </c>
      <c r="D11" s="20" t="s">
        <v>12</v>
      </c>
      <c r="E11" s="20" t="s">
        <v>13</v>
      </c>
      <c r="F11" s="20" t="s">
        <v>14</v>
      </c>
      <c r="G11" s="20" t="s">
        <v>15</v>
      </c>
      <c r="H11" s="20">
        <v>2000</v>
      </c>
      <c r="I11" s="20">
        <v>350</v>
      </c>
      <c r="J11" s="17" t="s">
        <v>38</v>
      </c>
    </row>
    <row r="12" spans="1:10" s="6" customFormat="1" ht="15.6">
      <c r="A12" s="10">
        <v>11</v>
      </c>
      <c r="B12" s="21" t="s">
        <v>48</v>
      </c>
      <c r="C12" s="20" t="s">
        <v>49</v>
      </c>
      <c r="D12" s="20" t="s">
        <v>27</v>
      </c>
      <c r="E12" s="20" t="s">
        <v>13</v>
      </c>
      <c r="F12" s="20" t="s">
        <v>23</v>
      </c>
      <c r="G12" s="20" t="s">
        <v>50</v>
      </c>
      <c r="H12" s="20">
        <v>1000</v>
      </c>
      <c r="I12" s="20">
        <v>80</v>
      </c>
      <c r="J12" s="17" t="s">
        <v>38</v>
      </c>
    </row>
    <row r="13" spans="1:10" s="6" customFormat="1" ht="15.6">
      <c r="A13" s="9">
        <v>12</v>
      </c>
      <c r="B13" s="21" t="s">
        <v>10</v>
      </c>
      <c r="C13" s="17" t="s">
        <v>51</v>
      </c>
      <c r="D13" s="16" t="s">
        <v>52</v>
      </c>
      <c r="E13" s="20" t="s">
        <v>28</v>
      </c>
      <c r="F13" s="20" t="s">
        <v>23</v>
      </c>
      <c r="G13" s="20" t="s">
        <v>53</v>
      </c>
      <c r="H13" s="20">
        <v>2000</v>
      </c>
      <c r="I13" s="20">
        <v>70</v>
      </c>
      <c r="J13" s="17" t="s">
        <v>38</v>
      </c>
    </row>
    <row r="14" spans="1:10" s="6" customFormat="1" ht="15.6">
      <c r="A14" s="10">
        <v>13</v>
      </c>
      <c r="B14" s="21" t="s">
        <v>46</v>
      </c>
      <c r="C14" s="17" t="s">
        <v>54</v>
      </c>
      <c r="D14" s="16" t="s">
        <v>12</v>
      </c>
      <c r="E14" s="20" t="s">
        <v>55</v>
      </c>
      <c r="F14" s="20" t="s">
        <v>23</v>
      </c>
      <c r="G14" s="20" t="s">
        <v>24</v>
      </c>
      <c r="H14" s="20">
        <v>2000</v>
      </c>
      <c r="I14" s="20">
        <v>100</v>
      </c>
      <c r="J14" s="17" t="s">
        <v>56</v>
      </c>
    </row>
    <row r="15" spans="1:10" s="6" customFormat="1" ht="18.600000000000001" customHeight="1">
      <c r="A15" s="9">
        <v>14</v>
      </c>
      <c r="B15" s="7" t="s">
        <v>32</v>
      </c>
      <c r="C15" s="7" t="s">
        <v>57</v>
      </c>
      <c r="D15" s="8" t="s">
        <v>27</v>
      </c>
      <c r="E15" s="7" t="s">
        <v>28</v>
      </c>
      <c r="F15" s="8" t="s">
        <v>14</v>
      </c>
      <c r="G15" s="8" t="s">
        <v>35</v>
      </c>
      <c r="H15" s="7">
        <v>500</v>
      </c>
      <c r="I15" s="7">
        <v>100</v>
      </c>
      <c r="J15" s="17" t="s">
        <v>38</v>
      </c>
    </row>
    <row r="16" spans="1:10" s="6" customFormat="1" ht="18.600000000000001" customHeight="1">
      <c r="A16" s="10">
        <v>15</v>
      </c>
      <c r="B16" s="7" t="s">
        <v>32</v>
      </c>
      <c r="C16" s="7" t="s">
        <v>58</v>
      </c>
      <c r="D16" s="8" t="s">
        <v>27</v>
      </c>
      <c r="E16" s="7" t="s">
        <v>28</v>
      </c>
      <c r="F16" s="8" t="s">
        <v>14</v>
      </c>
      <c r="G16" s="8" t="s">
        <v>35</v>
      </c>
      <c r="H16" s="7">
        <v>500</v>
      </c>
      <c r="I16" s="7">
        <v>100</v>
      </c>
      <c r="J16" s="17" t="s">
        <v>38</v>
      </c>
    </row>
    <row r="17" spans="1:14" s="52" customFormat="1" ht="22.5" customHeight="1">
      <c r="A17" s="9">
        <v>16</v>
      </c>
      <c r="B17" s="49" t="s">
        <v>46</v>
      </c>
      <c r="C17" s="50" t="s">
        <v>59</v>
      </c>
      <c r="D17" s="50" t="s">
        <v>27</v>
      </c>
      <c r="E17" s="49" t="s">
        <v>55</v>
      </c>
      <c r="F17" s="50" t="s">
        <v>41</v>
      </c>
      <c r="G17" s="50" t="s">
        <v>60</v>
      </c>
      <c r="H17" s="49" t="s">
        <v>61</v>
      </c>
      <c r="I17" s="49">
        <v>100</v>
      </c>
      <c r="J17" s="51" t="s">
        <v>61</v>
      </c>
    </row>
    <row r="18" spans="1:14" ht="22.5" customHeight="1">
      <c r="A18" s="10">
        <v>17</v>
      </c>
      <c r="B18" s="7" t="s">
        <v>10</v>
      </c>
      <c r="C18" s="8" t="s">
        <v>62</v>
      </c>
      <c r="D18" s="8" t="s">
        <v>27</v>
      </c>
      <c r="E18" s="7" t="s">
        <v>55</v>
      </c>
      <c r="F18" s="8" t="s">
        <v>41</v>
      </c>
      <c r="G18" s="8" t="s">
        <v>63</v>
      </c>
      <c r="H18" s="7">
        <v>1000</v>
      </c>
      <c r="I18" s="7">
        <v>100</v>
      </c>
      <c r="J18" s="17" t="s">
        <v>64</v>
      </c>
      <c r="N18">
        <v>6077</v>
      </c>
    </row>
    <row r="19" spans="1:14" ht="15.6">
      <c r="A19" s="9">
        <v>18</v>
      </c>
      <c r="B19" s="21" t="s">
        <v>10</v>
      </c>
      <c r="C19" s="25" t="s">
        <v>65</v>
      </c>
      <c r="D19" s="19" t="s">
        <v>66</v>
      </c>
      <c r="E19" s="20" t="s">
        <v>28</v>
      </c>
      <c r="F19" s="8" t="s">
        <v>23</v>
      </c>
      <c r="G19" s="23" t="s">
        <v>24</v>
      </c>
      <c r="H19" s="20">
        <v>2000</v>
      </c>
      <c r="I19" s="20">
        <v>100</v>
      </c>
      <c r="J19" s="17" t="s">
        <v>38</v>
      </c>
      <c r="K19" s="11"/>
      <c r="N19">
        <f>SUM(I6:I19)</f>
        <v>2127</v>
      </c>
    </row>
    <row r="20" spans="1:14" ht="20.45" customHeight="1">
      <c r="A20" s="10">
        <v>19</v>
      </c>
      <c r="B20" s="8" t="s">
        <v>46</v>
      </c>
      <c r="C20" s="8" t="s">
        <v>67</v>
      </c>
      <c r="D20" s="8" t="s">
        <v>12</v>
      </c>
      <c r="E20" s="8" t="s">
        <v>19</v>
      </c>
      <c r="F20" s="7" t="s">
        <v>23</v>
      </c>
      <c r="G20" s="7" t="s">
        <v>68</v>
      </c>
      <c r="H20" s="7">
        <v>2000</v>
      </c>
      <c r="I20" s="7">
        <v>400</v>
      </c>
      <c r="J20" s="17" t="s">
        <v>38</v>
      </c>
      <c r="K20" s="11"/>
      <c r="M20">
        <f>SUM(I2:I22)</f>
        <v>5877</v>
      </c>
    </row>
    <row r="21" spans="1:14" ht="19.5" customHeight="1">
      <c r="A21" s="9">
        <v>20</v>
      </c>
      <c r="B21" s="8" t="s">
        <v>46</v>
      </c>
      <c r="C21" s="7" t="s">
        <v>69</v>
      </c>
      <c r="D21" s="8" t="s">
        <v>12</v>
      </c>
      <c r="E21" s="8" t="s">
        <v>19</v>
      </c>
      <c r="F21" s="7" t="s">
        <v>23</v>
      </c>
      <c r="G21" s="7" t="s">
        <v>68</v>
      </c>
      <c r="H21" s="7">
        <v>1000</v>
      </c>
      <c r="I21" s="7">
        <v>200</v>
      </c>
      <c r="J21" s="17" t="s">
        <v>38</v>
      </c>
      <c r="K21" s="11"/>
    </row>
    <row r="22" spans="1:14" ht="21" customHeight="1">
      <c r="A22" s="10">
        <v>21</v>
      </c>
      <c r="B22" s="8" t="s">
        <v>46</v>
      </c>
      <c r="C22" s="7" t="s">
        <v>70</v>
      </c>
      <c r="D22" s="8" t="s">
        <v>12</v>
      </c>
      <c r="E22" s="8" t="s">
        <v>19</v>
      </c>
      <c r="F22" s="7" t="s">
        <v>23</v>
      </c>
      <c r="G22" s="7" t="s">
        <v>68</v>
      </c>
      <c r="H22" s="7">
        <v>2000</v>
      </c>
      <c r="I22" s="7">
        <v>600</v>
      </c>
      <c r="J22" s="17" t="s">
        <v>38</v>
      </c>
      <c r="K22" s="11"/>
      <c r="M22">
        <f>SUM(I2:I22)</f>
        <v>5877</v>
      </c>
    </row>
    <row r="23" spans="1:14" ht="21" customHeight="1">
      <c r="A23" s="9">
        <v>22</v>
      </c>
      <c r="B23" s="8" t="s">
        <v>46</v>
      </c>
      <c r="C23" s="7" t="s">
        <v>71</v>
      </c>
      <c r="D23" s="8" t="s">
        <v>12</v>
      </c>
      <c r="E23" s="8" t="s">
        <v>28</v>
      </c>
      <c r="F23" s="7" t="s">
        <v>72</v>
      </c>
      <c r="G23" s="23" t="s">
        <v>24</v>
      </c>
      <c r="H23" s="7">
        <v>3000</v>
      </c>
      <c r="I23" s="7">
        <v>500</v>
      </c>
      <c r="J23" s="17" t="s">
        <v>38</v>
      </c>
      <c r="K23" s="11"/>
      <c r="M23">
        <f>SUM(I3:I23)</f>
        <v>5377</v>
      </c>
    </row>
    <row r="24" spans="1:14" ht="21" customHeight="1">
      <c r="A24" s="10">
        <v>23</v>
      </c>
      <c r="B24" s="8" t="s">
        <v>46</v>
      </c>
      <c r="C24" s="7" t="s">
        <v>73</v>
      </c>
      <c r="D24" s="8" t="s">
        <v>12</v>
      </c>
      <c r="E24" s="8" t="s">
        <v>19</v>
      </c>
      <c r="F24" s="7" t="s">
        <v>72</v>
      </c>
      <c r="G24" s="23" t="s">
        <v>24</v>
      </c>
      <c r="H24" s="7">
        <v>10000</v>
      </c>
      <c r="I24" s="7">
        <v>1000</v>
      </c>
      <c r="J24" s="17" t="s">
        <v>38</v>
      </c>
      <c r="K24" s="11"/>
      <c r="M24">
        <f>SUM(I4:I24)</f>
        <v>6027</v>
      </c>
    </row>
    <row r="25" spans="1:14" s="4" customFormat="1" ht="15.6">
      <c r="A25" s="9">
        <v>24</v>
      </c>
      <c r="B25" s="21" t="s">
        <v>10</v>
      </c>
      <c r="C25" s="17" t="s">
        <v>74</v>
      </c>
      <c r="D25" s="16" t="s">
        <v>12</v>
      </c>
      <c r="E25" s="20" t="s">
        <v>28</v>
      </c>
      <c r="F25" s="7" t="s">
        <v>41</v>
      </c>
      <c r="G25" s="23" t="s">
        <v>68</v>
      </c>
      <c r="H25" s="20">
        <v>7000</v>
      </c>
      <c r="I25" s="20">
        <v>1000</v>
      </c>
      <c r="J25" s="17" t="s">
        <v>38</v>
      </c>
      <c r="K25" s="11"/>
    </row>
    <row r="26" spans="1:14" ht="15.6">
      <c r="A26" s="10">
        <v>25</v>
      </c>
      <c r="B26" s="21" t="s">
        <v>10</v>
      </c>
      <c r="C26" s="17" t="s">
        <v>75</v>
      </c>
      <c r="D26" s="16" t="s">
        <v>76</v>
      </c>
      <c r="E26" s="20" t="s">
        <v>28</v>
      </c>
      <c r="F26" s="7" t="s">
        <v>14</v>
      </c>
      <c r="G26" s="23" t="s">
        <v>53</v>
      </c>
      <c r="H26" s="41">
        <v>5000</v>
      </c>
      <c r="I26" s="41">
        <v>2000</v>
      </c>
      <c r="J26" s="17" t="s">
        <v>31</v>
      </c>
    </row>
    <row r="27" spans="1:14" ht="15.6">
      <c r="A27" s="9">
        <v>26</v>
      </c>
      <c r="B27" s="21" t="s">
        <v>10</v>
      </c>
      <c r="C27" s="48" t="s">
        <v>77</v>
      </c>
      <c r="D27" s="48" t="s">
        <v>78</v>
      </c>
      <c r="E27" s="20" t="s">
        <v>28</v>
      </c>
      <c r="F27" s="7" t="s">
        <v>41</v>
      </c>
      <c r="G27" s="23" t="s">
        <v>53</v>
      </c>
      <c r="H27" s="41">
        <v>3000</v>
      </c>
      <c r="I27" s="41">
        <v>400</v>
      </c>
      <c r="J27" s="41" t="s">
        <v>38</v>
      </c>
    </row>
    <row r="28" spans="1:14">
      <c r="A28" s="3"/>
      <c r="B28" s="1"/>
      <c r="E28" s="1"/>
    </row>
    <row r="29" spans="1:14">
      <c r="A29" s="3"/>
      <c r="B29" s="1"/>
      <c r="E29" s="1"/>
    </row>
    <row r="36" spans="3:4">
      <c r="C36" s="2"/>
      <c r="D36" s="2"/>
    </row>
    <row r="37" spans="3:4">
      <c r="C37" s="2"/>
      <c r="D37" s="2"/>
    </row>
    <row r="38" spans="3:4">
      <c r="C38" s="2"/>
      <c r="D38" s="2"/>
    </row>
    <row r="99" spans="5:15">
      <c r="E99" s="5"/>
    </row>
    <row r="100" spans="5:15">
      <c r="E100" s="2"/>
    </row>
    <row r="101" spans="5:15">
      <c r="E101" s="2"/>
    </row>
    <row r="103" spans="5:15">
      <c r="O103">
        <f>N18+N19</f>
        <v>8204</v>
      </c>
    </row>
  </sheetData>
  <autoFilter ref="D1:D75" xr:uid="{2A2C1A62-49D8-435E-B95F-2A3D6972F781}"/>
  <dataValidations count="1">
    <dataValidation type="list" allowBlank="1" showInputMessage="1" showErrorMessage="1" sqref="C71:C74 F75:F103 F2:F70" xr:uid="{F05EF712-D4B3-4E14-BDCF-E7534BBBB4CC}">
      <formula1>"Implementation,Appraisal,Negotiation,Completed,Shelved"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E644-7B1A-4AA2-BA4F-C754E8CD3F76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9F00-44BC-4DF5-88FD-1A0AC0C451FF}">
  <dimension ref="A1:O7"/>
  <sheetViews>
    <sheetView workbookViewId="0">
      <selection activeCell="F13" sqref="F13"/>
    </sheetView>
  </sheetViews>
  <sheetFormatPr defaultRowHeight="14.45" outlineLevelCol="1"/>
  <cols>
    <col min="1" max="1" width="20.42578125" customWidth="1"/>
    <col min="2" max="2" width="18.5703125" customWidth="1"/>
    <col min="3" max="3" width="48.140625" customWidth="1"/>
    <col min="14" max="15" width="8.85546875" outlineLevel="1"/>
  </cols>
  <sheetData>
    <row r="1" spans="1:15">
      <c r="A1" s="34" t="s">
        <v>5</v>
      </c>
      <c r="B1" s="35" t="s">
        <v>79</v>
      </c>
      <c r="C1" s="35" t="s">
        <v>80</v>
      </c>
      <c r="N1" t="s">
        <v>5</v>
      </c>
      <c r="O1" t="s">
        <v>81</v>
      </c>
    </row>
    <row r="2" spans="1:15">
      <c r="A2" s="28" t="s">
        <v>14</v>
      </c>
      <c r="B2" s="29">
        <f>COUNTIF(Pipeline!$F$2:$F$103,A2&amp;"*")</f>
        <v>7</v>
      </c>
      <c r="C2" s="29">
        <f>SUMIF(Pipeline!$F$2:$F$103,A2&amp;"*",Pipeline!$I$2:$I$103)</f>
        <v>3900</v>
      </c>
      <c r="N2" t="str">
        <f>A2</f>
        <v>Negotiation</v>
      </c>
      <c r="O2" s="27">
        <f>C2</f>
        <v>3900</v>
      </c>
    </row>
    <row r="3" spans="1:15">
      <c r="A3" s="28" t="s">
        <v>41</v>
      </c>
      <c r="B3" s="29">
        <f>COUNTIF(Pipeline!$F$2:$F$103,A3&amp;"*")</f>
        <v>6</v>
      </c>
      <c r="C3" s="29">
        <f>SUMIF(Pipeline!$F$2:$F$103,A3&amp;"*",Pipeline!$I$2:$I$103)</f>
        <v>1877</v>
      </c>
      <c r="N3" t="str">
        <f>A3</f>
        <v>Appraisal</v>
      </c>
      <c r="O3" s="27">
        <f>C3</f>
        <v>1877</v>
      </c>
    </row>
    <row r="4" spans="1:15">
      <c r="A4" s="28" t="s">
        <v>23</v>
      </c>
      <c r="B4" s="29">
        <f>COUNTIF(Pipeline!$F$2:$F$103,A4&amp;"*")</f>
        <v>11</v>
      </c>
      <c r="C4" s="29">
        <f>SUMIF(Pipeline!$F$2:$F$103,A4&amp;"*",Pipeline!$I$2:$I$103)</f>
        <v>3500</v>
      </c>
      <c r="N4" t="str">
        <f>A4</f>
        <v>Completed</v>
      </c>
      <c r="O4" s="27">
        <f>C4</f>
        <v>3500</v>
      </c>
    </row>
    <row r="5" spans="1:15">
      <c r="A5" s="28" t="s">
        <v>72</v>
      </c>
      <c r="B5" s="29">
        <f>COUNTIF(Pipeline!$F$2:$F$103,A5&amp;"*")</f>
        <v>2</v>
      </c>
      <c r="C5" s="29">
        <f>SUMIF(Pipeline!$F$2:$F$103,A5&amp;"*",Pipeline!$I$2:$I$103)</f>
        <v>1500</v>
      </c>
      <c r="N5" t="str">
        <f>A5</f>
        <v>Implementation</v>
      </c>
      <c r="O5" s="27">
        <f>C5</f>
        <v>1500</v>
      </c>
    </row>
    <row r="6" spans="1:15" ht="15" thickBot="1">
      <c r="A6" s="30" t="s">
        <v>82</v>
      </c>
      <c r="B6" s="31">
        <f>COUNTIF(Pipeline!$F$2:$F$103,A6&amp;"*")</f>
        <v>0</v>
      </c>
      <c r="C6" s="31">
        <f>SUMIF(Pipeline!$F$2:$F$103,A6&amp;"*",Pipeline!$I$2:$I$103)</f>
        <v>0</v>
      </c>
      <c r="N6" t="str">
        <f>A6</f>
        <v>Shelved</v>
      </c>
      <c r="O6" s="27">
        <f>C6</f>
        <v>0</v>
      </c>
    </row>
    <row r="7" spans="1:15">
      <c r="A7" s="32" t="s">
        <v>83</v>
      </c>
      <c r="B7" s="33">
        <f>SUM(B2:B6)</f>
        <v>26</v>
      </c>
      <c r="C7" s="33">
        <f>SUM(C2:C6)</f>
        <v>10777</v>
      </c>
    </row>
  </sheetData>
  <sortState xmlns:xlrd2="http://schemas.microsoft.com/office/spreadsheetml/2017/richdata2" ref="A5:A6">
    <sortCondition descending="1" ref="A5:A6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A794-B5C3-402C-9ABD-0EE92C25AA1D}">
  <dimension ref="A1:O9"/>
  <sheetViews>
    <sheetView workbookViewId="0">
      <selection activeCell="C23" sqref="C23"/>
    </sheetView>
  </sheetViews>
  <sheetFormatPr defaultRowHeight="14.45"/>
  <cols>
    <col min="1" max="1" width="27.85546875" customWidth="1"/>
    <col min="2" max="2" width="22.140625" customWidth="1"/>
    <col min="3" max="3" width="31.42578125" customWidth="1"/>
  </cols>
  <sheetData>
    <row r="1" spans="1:15" ht="29.1">
      <c r="A1" s="36" t="s">
        <v>3</v>
      </c>
      <c r="B1" s="37" t="s">
        <v>84</v>
      </c>
      <c r="C1" s="40" t="s">
        <v>85</v>
      </c>
      <c r="N1" t="s">
        <v>3</v>
      </c>
      <c r="O1" t="s">
        <v>85</v>
      </c>
    </row>
    <row r="2" spans="1:15">
      <c r="A2" s="28" t="s">
        <v>12</v>
      </c>
      <c r="B2" s="28">
        <f>COUNTIF(Pipeline!$D$2:$D$75,A2&amp;"*")</f>
        <v>12</v>
      </c>
      <c r="C2" s="29">
        <f>SUMIF(Pipeline!$D$2:$D$75,A2&amp;"*",Pipeline!$I$2:$I$103)</f>
        <v>6750</v>
      </c>
      <c r="N2" t="str">
        <f>A2</f>
        <v>Garments</v>
      </c>
      <c r="O2" s="27">
        <f>C2</f>
        <v>6750</v>
      </c>
    </row>
    <row r="3" spans="1:15">
      <c r="A3" s="28" t="s">
        <v>86</v>
      </c>
      <c r="B3" s="28">
        <f>COUNTIF(Pipeline!$D$2:$D$75,A3&amp;"*")</f>
        <v>6</v>
      </c>
      <c r="C3" s="29">
        <f>SUMIF(Pipeline!$D$2:$D$75,A3&amp;"*",Pipeline!$I$2:$I$103)</f>
        <v>480</v>
      </c>
      <c r="N3" t="str">
        <f t="shared" ref="N3:N8" si="0">A3</f>
        <v>Agro Processing</v>
      </c>
      <c r="O3" s="27">
        <f t="shared" ref="O3:O8" si="1">C3</f>
        <v>480</v>
      </c>
    </row>
    <row r="4" spans="1:15">
      <c r="A4" s="28" t="s">
        <v>34</v>
      </c>
      <c r="B4" s="28">
        <f>COUNTIF(Pipeline!$D$2:$D$75,A4&amp;"*")</f>
        <v>2</v>
      </c>
      <c r="C4" s="29">
        <f>SUMIF(Pipeline!$D$2:$D$75,A4&amp;"*",Pipeline!$I$2:$I$103)</f>
        <v>450</v>
      </c>
      <c r="N4" t="str">
        <f t="shared" si="0"/>
        <v>Light manufacturing</v>
      </c>
      <c r="O4" s="27">
        <f t="shared" si="1"/>
        <v>450</v>
      </c>
    </row>
    <row r="5" spans="1:15">
      <c r="A5" s="28" t="s">
        <v>52</v>
      </c>
      <c r="B5" s="28">
        <f>COUNTIF(Pipeline!$D$2:$D$75,A5&amp;"*")</f>
        <v>1</v>
      </c>
      <c r="C5" s="29">
        <f>SUMIF(Pipeline!$D$2:$D$75,A5&amp;"*",Pipeline!$I$2:$I$103)</f>
        <v>70</v>
      </c>
      <c r="N5" t="str">
        <f t="shared" si="0"/>
        <v>Automotive</v>
      </c>
      <c r="O5" s="27">
        <f t="shared" si="1"/>
        <v>70</v>
      </c>
    </row>
    <row r="6" spans="1:15">
      <c r="A6" s="28" t="s">
        <v>40</v>
      </c>
      <c r="B6" s="28">
        <f>COUNTIF(Pipeline!$D$2:$D$75,A6&amp;"*")</f>
        <v>1</v>
      </c>
      <c r="C6" s="29">
        <f>SUMIF(Pipeline!$D$2:$D$75,A6&amp;"*",Pipeline!$I$2:$I$103)</f>
        <v>250</v>
      </c>
      <c r="N6" t="str">
        <f t="shared" si="0"/>
        <v>Footwear</v>
      </c>
      <c r="O6" s="27">
        <f t="shared" si="1"/>
        <v>250</v>
      </c>
    </row>
    <row r="7" spans="1:15">
      <c r="A7" s="28" t="s">
        <v>45</v>
      </c>
      <c r="B7" s="28">
        <f>COUNTIF(Pipeline!$D$2:$D$75,A7&amp;"*")</f>
        <v>1</v>
      </c>
      <c r="C7" s="29">
        <f>SUMIF(Pipeline!$D$2:$D$75,A7&amp;"*",Pipeline!$I$2:$I$103)</f>
        <v>27</v>
      </c>
      <c r="N7" t="str">
        <f t="shared" si="0"/>
        <v>Water Bottling</v>
      </c>
      <c r="O7" s="27">
        <f t="shared" si="1"/>
        <v>27</v>
      </c>
    </row>
    <row r="8" spans="1:15" ht="15" thickBot="1">
      <c r="A8" s="30" t="s">
        <v>18</v>
      </c>
      <c r="B8" s="30">
        <f>COUNTIF(Pipeline!$D$2:$D$75,A8&amp;"*")</f>
        <v>1</v>
      </c>
      <c r="C8" s="31">
        <f>SUMIF(Pipeline!$D$2:$D$75,A8&amp;"*",Pipeline!$I$2:$I$103)</f>
        <v>350</v>
      </c>
      <c r="N8" t="str">
        <f t="shared" si="0"/>
        <v>Electrical components</v>
      </c>
      <c r="O8" s="27">
        <f t="shared" si="1"/>
        <v>350</v>
      </c>
    </row>
    <row r="9" spans="1:15">
      <c r="A9" s="32" t="s">
        <v>83</v>
      </c>
      <c r="B9" s="32">
        <f>SUM(B2:B8)</f>
        <v>24</v>
      </c>
      <c r="C9" s="33">
        <f>SUM(C2:C8)</f>
        <v>8377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3901E-91A6-4890-8E36-7C1CBEC21F5B}">
  <dimension ref="A1:L25"/>
  <sheetViews>
    <sheetView topLeftCell="B3" workbookViewId="0">
      <selection activeCell="D9" sqref="D9"/>
    </sheetView>
  </sheetViews>
  <sheetFormatPr defaultRowHeight="15" customHeight="1"/>
  <cols>
    <col min="1" max="1" width="12.140625" customWidth="1"/>
    <col min="2" max="2" width="11.7109375" customWidth="1"/>
    <col min="3" max="3" width="25.42578125" customWidth="1"/>
    <col min="4" max="4" width="16.42578125" style="122" customWidth="1"/>
    <col min="5" max="5" width="15" customWidth="1"/>
    <col min="6" max="6" width="13.140625" style="122" customWidth="1"/>
    <col min="7" max="7" width="17.42578125" customWidth="1"/>
    <col min="8" max="8" width="17.42578125" style="122" customWidth="1"/>
    <col min="9" max="9" width="15.5703125" customWidth="1"/>
    <col min="10" max="10" width="12.42578125" style="122" customWidth="1"/>
    <col min="11" max="11" width="18.42578125" customWidth="1"/>
    <col min="12" max="12" width="6" customWidth="1"/>
  </cols>
  <sheetData>
    <row r="1" spans="1:12" ht="48" customHeight="1">
      <c r="A1" s="26" t="s">
        <v>0</v>
      </c>
      <c r="B1" s="18" t="s">
        <v>1</v>
      </c>
      <c r="C1" s="18" t="s">
        <v>2</v>
      </c>
      <c r="D1" s="113" t="s">
        <v>3</v>
      </c>
      <c r="E1" s="18" t="s">
        <v>4</v>
      </c>
      <c r="F1" s="113" t="s">
        <v>5</v>
      </c>
      <c r="G1" s="18" t="s">
        <v>6</v>
      </c>
      <c r="H1" s="113" t="s">
        <v>87</v>
      </c>
      <c r="I1" s="18" t="s">
        <v>7</v>
      </c>
      <c r="J1" s="113" t="s">
        <v>8</v>
      </c>
      <c r="K1" s="18" t="s">
        <v>9</v>
      </c>
    </row>
    <row r="2" spans="1:12" ht="24" customHeight="1">
      <c r="A2" s="14">
        <v>1</v>
      </c>
      <c r="B2" s="7" t="s">
        <v>10</v>
      </c>
      <c r="C2" s="7" t="s">
        <v>37</v>
      </c>
      <c r="D2" s="114" t="s">
        <v>12</v>
      </c>
      <c r="E2" s="7" t="s">
        <v>28</v>
      </c>
      <c r="F2" s="116" t="s">
        <v>23</v>
      </c>
      <c r="G2" s="8" t="s">
        <v>53</v>
      </c>
      <c r="H2" s="116" t="s">
        <v>88</v>
      </c>
      <c r="I2" s="7">
        <v>3000</v>
      </c>
      <c r="J2" s="127">
        <v>300</v>
      </c>
      <c r="K2" s="17" t="s">
        <v>38</v>
      </c>
      <c r="L2" s="4"/>
    </row>
    <row r="3" spans="1:12" ht="16.5">
      <c r="A3" s="10">
        <v>2</v>
      </c>
      <c r="B3" s="7" t="s">
        <v>10</v>
      </c>
      <c r="C3" s="7" t="s">
        <v>39</v>
      </c>
      <c r="D3" s="114" t="s">
        <v>40</v>
      </c>
      <c r="E3" s="7" t="s">
        <v>28</v>
      </c>
      <c r="F3" s="116" t="s">
        <v>23</v>
      </c>
      <c r="G3" s="8" t="s">
        <v>53</v>
      </c>
      <c r="H3" s="116" t="s">
        <v>88</v>
      </c>
      <c r="I3" s="7">
        <v>2000</v>
      </c>
      <c r="J3" s="114">
        <v>250</v>
      </c>
      <c r="K3" s="17" t="s">
        <v>31</v>
      </c>
      <c r="L3" s="4"/>
    </row>
    <row r="4" spans="1:12" s="6" customFormat="1" ht="16.5">
      <c r="A4" s="14">
        <v>3</v>
      </c>
      <c r="B4" s="21" t="s">
        <v>10</v>
      </c>
      <c r="C4" s="17" t="s">
        <v>51</v>
      </c>
      <c r="D4" s="115" t="s">
        <v>52</v>
      </c>
      <c r="E4" s="20" t="s">
        <v>28</v>
      </c>
      <c r="F4" s="115" t="s">
        <v>23</v>
      </c>
      <c r="G4" s="20" t="s">
        <v>53</v>
      </c>
      <c r="H4" s="115" t="s">
        <v>89</v>
      </c>
      <c r="I4" s="20">
        <v>2000</v>
      </c>
      <c r="J4" s="115">
        <v>70</v>
      </c>
      <c r="K4" s="17" t="s">
        <v>38</v>
      </c>
      <c r="L4" s="53"/>
    </row>
    <row r="5" spans="1:12" s="6" customFormat="1" ht="33.75">
      <c r="A5" s="10">
        <v>4</v>
      </c>
      <c r="B5" s="21" t="s">
        <v>46</v>
      </c>
      <c r="C5" s="17" t="s">
        <v>54</v>
      </c>
      <c r="D5" s="115" t="s">
        <v>12</v>
      </c>
      <c r="E5" s="20" t="s">
        <v>55</v>
      </c>
      <c r="F5" s="115" t="s">
        <v>82</v>
      </c>
      <c r="G5" s="20" t="s">
        <v>24</v>
      </c>
      <c r="H5" s="115" t="s">
        <v>90</v>
      </c>
      <c r="I5" s="20">
        <v>2000</v>
      </c>
      <c r="J5" s="115">
        <v>100</v>
      </c>
      <c r="K5" s="17" t="s">
        <v>56</v>
      </c>
      <c r="L5" s="53"/>
    </row>
    <row r="6" spans="1:12" s="6" customFormat="1" ht="29.25" customHeight="1">
      <c r="A6" s="14">
        <v>5</v>
      </c>
      <c r="B6" s="21" t="s">
        <v>46</v>
      </c>
      <c r="C6" s="22" t="s">
        <v>59</v>
      </c>
      <c r="D6" s="116" t="s">
        <v>27</v>
      </c>
      <c r="E6" s="21" t="s">
        <v>55</v>
      </c>
      <c r="F6" s="116" t="s">
        <v>41</v>
      </c>
      <c r="G6" s="22" t="s">
        <v>60</v>
      </c>
      <c r="H6" s="116" t="s">
        <v>53</v>
      </c>
      <c r="I6" s="21" t="s">
        <v>61</v>
      </c>
      <c r="J6" s="114">
        <v>100</v>
      </c>
      <c r="K6" s="23" t="s">
        <v>61</v>
      </c>
      <c r="L6" s="53"/>
    </row>
    <row r="7" spans="1:12" ht="22.5" customHeight="1">
      <c r="A7" s="10">
        <v>6</v>
      </c>
      <c r="B7" s="7" t="s">
        <v>10</v>
      </c>
      <c r="C7" s="8" t="s">
        <v>62</v>
      </c>
      <c r="D7" s="116" t="s">
        <v>27</v>
      </c>
      <c r="E7" s="7" t="s">
        <v>55</v>
      </c>
      <c r="F7" s="116" t="s">
        <v>41</v>
      </c>
      <c r="G7" s="8" t="s">
        <v>63</v>
      </c>
      <c r="H7" s="116" t="s">
        <v>63</v>
      </c>
      <c r="I7" s="7">
        <v>1000</v>
      </c>
      <c r="J7" s="114">
        <v>100</v>
      </c>
      <c r="K7" s="17" t="s">
        <v>64</v>
      </c>
      <c r="L7" s="4"/>
    </row>
    <row r="8" spans="1:12" ht="16.5">
      <c r="A8" s="14">
        <v>7</v>
      </c>
      <c r="B8" s="21" t="s">
        <v>10</v>
      </c>
      <c r="C8" s="25" t="s">
        <v>65</v>
      </c>
      <c r="D8" s="117" t="s">
        <v>66</v>
      </c>
      <c r="E8" s="20" t="s">
        <v>28</v>
      </c>
      <c r="F8" s="116" t="s">
        <v>41</v>
      </c>
      <c r="G8" s="23" t="s">
        <v>24</v>
      </c>
      <c r="H8" s="131" t="s">
        <v>88</v>
      </c>
      <c r="I8" s="20">
        <v>2000</v>
      </c>
      <c r="J8" s="115">
        <v>100</v>
      </c>
      <c r="K8" s="17" t="s">
        <v>38</v>
      </c>
      <c r="L8" s="11"/>
    </row>
    <row r="9" spans="1:12" s="4" customFormat="1" ht="33.75">
      <c r="A9" s="10">
        <v>8</v>
      </c>
      <c r="B9" s="21" t="s">
        <v>10</v>
      </c>
      <c r="C9" s="17" t="s">
        <v>91</v>
      </c>
      <c r="D9" s="115" t="s">
        <v>12</v>
      </c>
      <c r="E9" s="20" t="s">
        <v>28</v>
      </c>
      <c r="F9" s="114" t="s">
        <v>14</v>
      </c>
      <c r="G9" s="23" t="s">
        <v>68</v>
      </c>
      <c r="H9" s="131" t="s">
        <v>68</v>
      </c>
      <c r="I9" s="20">
        <v>7000</v>
      </c>
      <c r="J9" s="115">
        <v>1000</v>
      </c>
      <c r="K9" s="17" t="s">
        <v>38</v>
      </c>
      <c r="L9" s="11"/>
    </row>
    <row r="10" spans="1:12" ht="16.5">
      <c r="A10" s="14">
        <v>9</v>
      </c>
      <c r="B10" s="69" t="s">
        <v>10</v>
      </c>
      <c r="C10" s="70" t="s">
        <v>77</v>
      </c>
      <c r="D10" s="118" t="s">
        <v>78</v>
      </c>
      <c r="E10" s="71" t="s">
        <v>28</v>
      </c>
      <c r="F10" s="123" t="s">
        <v>41</v>
      </c>
      <c r="G10" s="73" t="s">
        <v>53</v>
      </c>
      <c r="H10" s="132" t="s">
        <v>92</v>
      </c>
      <c r="I10" s="74">
        <v>3000</v>
      </c>
      <c r="J10" s="128">
        <v>400</v>
      </c>
      <c r="K10" s="74" t="s">
        <v>38</v>
      </c>
      <c r="L10" s="4"/>
    </row>
    <row r="11" spans="1:12" s="84" customFormat="1" ht="30.75">
      <c r="A11" s="10">
        <v>10</v>
      </c>
      <c r="B11" s="84" t="s">
        <v>93</v>
      </c>
      <c r="C11" s="84" t="s">
        <v>94</v>
      </c>
      <c r="D11" s="119" t="s">
        <v>95</v>
      </c>
      <c r="E11" s="84" t="s">
        <v>55</v>
      </c>
      <c r="F11" s="124" t="s">
        <v>23</v>
      </c>
      <c r="G11" s="84" t="s">
        <v>96</v>
      </c>
      <c r="H11" s="124" t="s">
        <v>96</v>
      </c>
      <c r="I11" s="111">
        <v>100</v>
      </c>
      <c r="J11" s="124">
        <v>500</v>
      </c>
      <c r="K11" s="111" t="s">
        <v>97</v>
      </c>
      <c r="L11" s="112"/>
    </row>
    <row r="12" spans="1:12" s="65" customFormat="1" ht="16.5">
      <c r="A12" s="14">
        <v>11</v>
      </c>
      <c r="B12" s="106" t="s">
        <v>46</v>
      </c>
      <c r="C12" s="78" t="s">
        <v>98</v>
      </c>
      <c r="D12" s="120" t="s">
        <v>66</v>
      </c>
      <c r="E12" s="79" t="s">
        <v>55</v>
      </c>
      <c r="F12" s="125" t="s">
        <v>41</v>
      </c>
      <c r="G12" s="81" t="s">
        <v>53</v>
      </c>
      <c r="H12" s="133" t="s">
        <v>99</v>
      </c>
      <c r="I12" s="82">
        <v>3000</v>
      </c>
      <c r="J12" s="129">
        <v>1000</v>
      </c>
      <c r="K12" s="82" t="s">
        <v>56</v>
      </c>
      <c r="L12" s="82"/>
    </row>
    <row r="13" spans="1:12" s="65" customFormat="1" ht="16.5">
      <c r="A13" s="10">
        <v>12</v>
      </c>
      <c r="B13" s="106" t="s">
        <v>10</v>
      </c>
      <c r="C13" s="78" t="s">
        <v>100</v>
      </c>
      <c r="D13" s="120" t="s">
        <v>66</v>
      </c>
      <c r="E13" s="79" t="s">
        <v>55</v>
      </c>
      <c r="F13" s="125" t="s">
        <v>41</v>
      </c>
      <c r="G13" s="81" t="s">
        <v>53</v>
      </c>
      <c r="H13" s="133" t="s">
        <v>99</v>
      </c>
      <c r="I13" s="82">
        <v>3000</v>
      </c>
      <c r="J13" s="129">
        <v>1000</v>
      </c>
      <c r="K13" s="82" t="s">
        <v>36</v>
      </c>
      <c r="L13" s="82"/>
    </row>
    <row r="14" spans="1:12" s="65" customFormat="1" ht="16.5">
      <c r="A14" s="14">
        <v>13</v>
      </c>
      <c r="B14" s="77" t="s">
        <v>10</v>
      </c>
      <c r="C14" s="78" t="s">
        <v>101</v>
      </c>
      <c r="D14" s="120" t="s">
        <v>66</v>
      </c>
      <c r="E14" s="79" t="s">
        <v>55</v>
      </c>
      <c r="F14" s="125" t="s">
        <v>102</v>
      </c>
      <c r="G14" s="81" t="s">
        <v>24</v>
      </c>
      <c r="H14" s="133" t="s">
        <v>99</v>
      </c>
      <c r="I14" s="82">
        <v>1000</v>
      </c>
      <c r="J14" s="129">
        <v>100</v>
      </c>
      <c r="K14" s="82" t="s">
        <v>56</v>
      </c>
      <c r="L14" s="82"/>
    </row>
    <row r="15" spans="1:12" s="65" customFormat="1" ht="16.5">
      <c r="A15" s="10">
        <v>14</v>
      </c>
      <c r="B15" s="86" t="s">
        <v>10</v>
      </c>
      <c r="C15" s="78" t="s">
        <v>103</v>
      </c>
      <c r="D15" s="120" t="s">
        <v>66</v>
      </c>
      <c r="E15" s="79" t="s">
        <v>55</v>
      </c>
      <c r="F15" s="125" t="s">
        <v>41</v>
      </c>
      <c r="G15" s="81" t="s">
        <v>53</v>
      </c>
      <c r="H15" s="133" t="s">
        <v>99</v>
      </c>
      <c r="I15" s="82">
        <v>1000</v>
      </c>
      <c r="J15" s="129">
        <v>100</v>
      </c>
      <c r="K15" s="82" t="s">
        <v>56</v>
      </c>
      <c r="L15" s="82"/>
    </row>
    <row r="16" spans="1:12" ht="16.5">
      <c r="A16" s="14">
        <v>15</v>
      </c>
      <c r="B16" s="21" t="s">
        <v>10</v>
      </c>
      <c r="C16" s="17" t="s">
        <v>65</v>
      </c>
      <c r="D16" s="115" t="s">
        <v>66</v>
      </c>
      <c r="E16" s="20" t="s">
        <v>28</v>
      </c>
      <c r="F16" s="116" t="s">
        <v>41</v>
      </c>
      <c r="G16" s="23" t="s">
        <v>24</v>
      </c>
      <c r="H16" s="131" t="s">
        <v>99</v>
      </c>
      <c r="I16" s="20">
        <v>2000</v>
      </c>
      <c r="J16" s="115">
        <v>100</v>
      </c>
      <c r="K16" s="16" t="s">
        <v>36</v>
      </c>
      <c r="L16" s="16"/>
    </row>
    <row r="17" spans="1:12" ht="16.5">
      <c r="A17" s="88" t="s">
        <v>104</v>
      </c>
      <c r="B17" s="43"/>
      <c r="C17" s="68"/>
      <c r="D17" s="121"/>
      <c r="E17" s="11"/>
      <c r="F17" s="126"/>
      <c r="G17" s="45"/>
      <c r="H17" s="134"/>
      <c r="I17" s="4"/>
      <c r="J17" s="130">
        <v>5220</v>
      </c>
      <c r="K17" s="4"/>
      <c r="L17" s="4"/>
    </row>
    <row r="18" spans="1:12" ht="16.5">
      <c r="A18" s="88"/>
      <c r="B18" s="43"/>
      <c r="C18" s="68"/>
      <c r="D18" s="121"/>
      <c r="E18" s="11"/>
      <c r="F18" s="126"/>
      <c r="G18" s="45"/>
      <c r="H18" s="134"/>
      <c r="I18" s="4"/>
      <c r="J18" s="130"/>
      <c r="K18" s="4"/>
      <c r="L18" s="4"/>
    </row>
    <row r="19" spans="1:12" ht="15.75">
      <c r="A19" s="42"/>
      <c r="B19" s="43"/>
      <c r="E19" s="11"/>
      <c r="F19" s="126"/>
      <c r="G19" s="45"/>
      <c r="H19" s="134"/>
    </row>
    <row r="20" spans="1:12" ht="33.75">
      <c r="A20" s="46" t="s">
        <v>105</v>
      </c>
      <c r="B20" s="47" t="s">
        <v>106</v>
      </c>
      <c r="E20" s="1"/>
    </row>
    <row r="21" spans="1:12">
      <c r="A21" s="41" t="s">
        <v>107</v>
      </c>
      <c r="B21" s="41">
        <v>12</v>
      </c>
    </row>
    <row r="22" spans="1:12">
      <c r="A22" s="41" t="s">
        <v>63</v>
      </c>
      <c r="B22" s="41">
        <v>1</v>
      </c>
    </row>
    <row r="23" spans="1:12">
      <c r="A23" s="66" t="s">
        <v>108</v>
      </c>
      <c r="B23" s="66">
        <v>1</v>
      </c>
    </row>
    <row r="24" spans="1:12" ht="15" customHeight="1">
      <c r="A24" s="84" t="s">
        <v>96</v>
      </c>
      <c r="B24" s="84">
        <v>1</v>
      </c>
    </row>
    <row r="25" spans="1:12" ht="15" customHeight="1">
      <c r="A25" s="65" t="s">
        <v>104</v>
      </c>
      <c r="B25" s="65">
        <v>15</v>
      </c>
    </row>
  </sheetData>
  <dataValidations count="1">
    <dataValidation type="list" allowBlank="1" showInputMessage="1" showErrorMessage="1" sqref="F2:F10 F12:F20" xr:uid="{BBE93DAD-07A7-4361-A017-EF1EF5B2DD2A}">
      <formula1>"Implementation,Appraisal,Negotiation,Completed,Shelved"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E2F3A-D3C9-4061-9465-CD49BF906CCB}">
  <dimension ref="A1:O9"/>
  <sheetViews>
    <sheetView workbookViewId="0">
      <selection activeCell="A8" sqref="A8"/>
    </sheetView>
  </sheetViews>
  <sheetFormatPr defaultRowHeight="14.45"/>
  <cols>
    <col min="1" max="1" width="16.5703125" customWidth="1"/>
    <col min="2" max="2" width="22.140625" customWidth="1"/>
    <col min="3" max="3" width="37" customWidth="1"/>
  </cols>
  <sheetData>
    <row r="1" spans="1:15">
      <c r="A1" s="36" t="s">
        <v>9</v>
      </c>
      <c r="B1" s="37" t="s">
        <v>84</v>
      </c>
      <c r="C1" s="37" t="s">
        <v>85</v>
      </c>
      <c r="N1" t="s">
        <v>9</v>
      </c>
      <c r="O1" t="s">
        <v>109</v>
      </c>
    </row>
    <row r="2" spans="1:15">
      <c r="A2" s="28" t="s">
        <v>110</v>
      </c>
      <c r="B2" s="28">
        <f>COUNTIF(Pipeline!$J$2:$J$103,A2&amp;"*")</f>
        <v>15</v>
      </c>
      <c r="C2" s="29">
        <f>SUMIF(Pipeline!$J$2:$J$103,A2&amp;"*",Pipeline!$I$2:$I$103)</f>
        <v>5227</v>
      </c>
      <c r="N2" t="str">
        <f t="shared" ref="N2:N8" si="0">A2</f>
        <v>Tikoe</v>
      </c>
      <c r="O2" s="27">
        <f t="shared" ref="O2:O8" si="1">C2</f>
        <v>5227</v>
      </c>
    </row>
    <row r="3" spans="1:15">
      <c r="A3" s="28" t="s">
        <v>31</v>
      </c>
      <c r="B3" s="28">
        <f>COUNTIF(Pipeline!$J$2:$J$103,A3&amp;"*")</f>
        <v>4</v>
      </c>
      <c r="C3" s="29">
        <f>SUMIF(Pipeline!$J$2:$J$103,A3&amp;"*",Pipeline!$I$2:$I$103)</f>
        <v>3450</v>
      </c>
      <c r="N3" t="str">
        <f t="shared" si="0"/>
        <v>Belo</v>
      </c>
      <c r="O3" s="27">
        <f t="shared" si="1"/>
        <v>3450</v>
      </c>
    </row>
    <row r="4" spans="1:15">
      <c r="A4" s="28" t="s">
        <v>16</v>
      </c>
      <c r="B4" s="28">
        <f>COUNTIF(Pipeline!$J$2:$J$103,A4&amp;"*")</f>
        <v>2</v>
      </c>
      <c r="C4" s="29">
        <f>SUMIF(Pipeline!$J$2:$J$103,A4&amp;"*",Pipeline!$I$2:$I$103)</f>
        <v>1100</v>
      </c>
      <c r="N4" t="str">
        <f t="shared" si="0"/>
        <v>Maputsoe</v>
      </c>
      <c r="O4" s="27">
        <f t="shared" si="1"/>
        <v>1100</v>
      </c>
    </row>
    <row r="5" spans="1:15">
      <c r="A5" s="28" t="s">
        <v>36</v>
      </c>
      <c r="B5" s="28">
        <f>COUNTIF(Pipeline!$J$2:$J$103,A5&amp;"*")</f>
        <v>2</v>
      </c>
      <c r="C5" s="29">
        <f>SUMIF(Pipeline!$J$2:$J$103,A5&amp;"*",Pipeline!$I$2:$I$103)</f>
        <v>400</v>
      </c>
      <c r="N5" t="str">
        <f t="shared" si="0"/>
        <v>Maseru</v>
      </c>
      <c r="O5" s="27">
        <f t="shared" si="1"/>
        <v>400</v>
      </c>
    </row>
    <row r="6" spans="1:15">
      <c r="A6" s="28" t="s">
        <v>43</v>
      </c>
      <c r="B6" s="28">
        <f>COUNTIF(Pipeline!$J$2:$J$103,A6&amp;"*")</f>
        <v>1</v>
      </c>
      <c r="C6" s="29">
        <f>SUMIF(Pipeline!$J$2:$J$103,A6&amp;"*",Pipeline!$I$2:$I$103)</f>
        <v>400</v>
      </c>
      <c r="N6" t="str">
        <f t="shared" si="0"/>
        <v>Thetsane</v>
      </c>
      <c r="O6" s="27">
        <f t="shared" si="1"/>
        <v>400</v>
      </c>
    </row>
    <row r="7" spans="1:15">
      <c r="A7" s="28" t="s">
        <v>64</v>
      </c>
      <c r="B7" s="28">
        <f>COUNTIF(Pipeline!$J$2:$J$103,A7&amp;"*")</f>
        <v>1</v>
      </c>
      <c r="C7" s="29">
        <f>SUMIF(Pipeline!$J$2:$J$103,A7&amp;"*",Pipeline!$I$2:$I$103)</f>
        <v>100</v>
      </c>
      <c r="N7" t="str">
        <f t="shared" si="0"/>
        <v>M/Hoek</v>
      </c>
      <c r="O7" s="27">
        <f t="shared" si="1"/>
        <v>100</v>
      </c>
    </row>
    <row r="8" spans="1:15">
      <c r="A8" s="28" t="s">
        <v>61</v>
      </c>
      <c r="B8" s="28">
        <f>COUNTIF(Pipeline!$J$2:$J$103,A8&amp;"*")</f>
        <v>1</v>
      </c>
      <c r="C8" s="29">
        <f>SUMIF(Pipeline!$J$2:$J$103,A8&amp;"*",Pipeline!$I$2:$I$103)</f>
        <v>100</v>
      </c>
      <c r="N8" t="str">
        <f t="shared" si="0"/>
        <v>N/A</v>
      </c>
      <c r="O8" s="27">
        <f t="shared" si="1"/>
        <v>100</v>
      </c>
    </row>
    <row r="9" spans="1:15">
      <c r="A9" s="38" t="s">
        <v>83</v>
      </c>
      <c r="B9" s="39">
        <f>SUM(B2:B8)</f>
        <v>26</v>
      </c>
      <c r="C9" s="39">
        <f>SUM(C2:C8)</f>
        <v>10777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6635-2511-4E8A-AA81-ACF2D83944AD}">
  <dimension ref="A1:J28"/>
  <sheetViews>
    <sheetView workbookViewId="0">
      <selection activeCell="H31" sqref="H31"/>
    </sheetView>
  </sheetViews>
  <sheetFormatPr defaultRowHeight="14.45"/>
  <cols>
    <col min="2" max="2" width="11.140625" customWidth="1"/>
    <col min="3" max="3" width="26.85546875" customWidth="1"/>
    <col min="4" max="4" width="19.7109375" customWidth="1"/>
    <col min="5" max="5" width="13.140625" customWidth="1"/>
    <col min="6" max="6" width="15.140625" customWidth="1"/>
    <col min="7" max="7" width="16.140625" customWidth="1"/>
    <col min="8" max="8" width="12.42578125" customWidth="1"/>
    <col min="9" max="9" width="14.28515625" customWidth="1"/>
    <col min="10" max="10" width="17.42578125" customWidth="1"/>
  </cols>
  <sheetData>
    <row r="1" spans="1:10" ht="48" customHeight="1">
      <c r="A1" s="26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spans="1:10" ht="39" customHeight="1">
      <c r="A2" s="10">
        <v>1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13">
        <v>30000</v>
      </c>
      <c r="I2" s="13">
        <v>1000</v>
      </c>
      <c r="J2" s="17" t="s">
        <v>16</v>
      </c>
    </row>
    <row r="3" spans="1:10" s="6" customFormat="1" ht="33.75" customHeight="1">
      <c r="A3" s="9">
        <v>2</v>
      </c>
      <c r="B3" s="22" t="s">
        <v>10</v>
      </c>
      <c r="C3" s="21" t="s">
        <v>17</v>
      </c>
      <c r="D3" s="21" t="s">
        <v>18</v>
      </c>
      <c r="E3" s="22" t="s">
        <v>19</v>
      </c>
      <c r="F3" s="22" t="s">
        <v>72</v>
      </c>
      <c r="G3" s="22" t="s">
        <v>20</v>
      </c>
      <c r="H3" s="24">
        <v>1000</v>
      </c>
      <c r="I3" s="21">
        <v>150</v>
      </c>
      <c r="J3" s="17" t="s">
        <v>31</v>
      </c>
    </row>
    <row r="4" spans="1:10" ht="25.5" customHeight="1">
      <c r="A4" s="10">
        <v>3</v>
      </c>
      <c r="B4" s="8" t="s">
        <v>10</v>
      </c>
      <c r="C4" s="7" t="s">
        <v>111</v>
      </c>
      <c r="D4" s="7" t="s">
        <v>52</v>
      </c>
      <c r="E4" s="8" t="s">
        <v>13</v>
      </c>
      <c r="F4" s="8" t="s">
        <v>23</v>
      </c>
      <c r="G4" s="8" t="s">
        <v>24</v>
      </c>
      <c r="H4" s="7">
        <v>3000</v>
      </c>
      <c r="I4" s="7">
        <v>400</v>
      </c>
      <c r="J4" s="17" t="s">
        <v>38</v>
      </c>
    </row>
    <row r="5" spans="1:10" s="6" customFormat="1" ht="36.6" customHeight="1">
      <c r="A5" s="9">
        <v>4</v>
      </c>
      <c r="B5" s="22" t="s">
        <v>10</v>
      </c>
      <c r="C5" s="21" t="s">
        <v>22</v>
      </c>
      <c r="D5" s="21" t="s">
        <v>12</v>
      </c>
      <c r="E5" s="22" t="s">
        <v>13</v>
      </c>
      <c r="F5" s="22" t="s">
        <v>23</v>
      </c>
      <c r="G5" s="22" t="s">
        <v>24</v>
      </c>
      <c r="H5" s="21">
        <v>10000</v>
      </c>
      <c r="I5" s="21">
        <v>1200</v>
      </c>
      <c r="J5" s="17" t="s">
        <v>25</v>
      </c>
    </row>
    <row r="6" spans="1:10" s="6" customFormat="1" ht="24.95" customHeight="1">
      <c r="A6" s="10">
        <v>5</v>
      </c>
      <c r="B6" s="21" t="s">
        <v>10</v>
      </c>
      <c r="C6" s="21" t="s">
        <v>26</v>
      </c>
      <c r="D6" s="21" t="s">
        <v>27</v>
      </c>
      <c r="E6" s="21" t="s">
        <v>28</v>
      </c>
      <c r="F6" s="22" t="s">
        <v>14</v>
      </c>
      <c r="G6" s="22" t="s">
        <v>29</v>
      </c>
      <c r="H6" s="21" t="s">
        <v>30</v>
      </c>
      <c r="I6" s="21">
        <v>0</v>
      </c>
      <c r="J6" s="17" t="s">
        <v>31</v>
      </c>
    </row>
    <row r="7" spans="1:10" ht="24" customHeight="1">
      <c r="A7" s="9">
        <v>6</v>
      </c>
      <c r="B7" s="7" t="s">
        <v>10</v>
      </c>
      <c r="C7" s="7" t="s">
        <v>37</v>
      </c>
      <c r="D7" s="7" t="s">
        <v>12</v>
      </c>
      <c r="E7" s="7" t="s">
        <v>28</v>
      </c>
      <c r="F7" s="8" t="s">
        <v>23</v>
      </c>
      <c r="G7" s="8" t="s">
        <v>15</v>
      </c>
      <c r="H7" s="7">
        <v>3000</v>
      </c>
      <c r="I7" s="15">
        <v>300</v>
      </c>
      <c r="J7" s="17" t="s">
        <v>38</v>
      </c>
    </row>
    <row r="8" spans="1:10" ht="16.5">
      <c r="A8" s="10">
        <v>7</v>
      </c>
      <c r="B8" s="7" t="s">
        <v>10</v>
      </c>
      <c r="C8" s="7" t="s">
        <v>39</v>
      </c>
      <c r="D8" s="7" t="s">
        <v>40</v>
      </c>
      <c r="E8" s="7" t="s">
        <v>28</v>
      </c>
      <c r="F8" s="8" t="s">
        <v>41</v>
      </c>
      <c r="G8" s="8" t="s">
        <v>15</v>
      </c>
      <c r="H8" s="7">
        <v>2000</v>
      </c>
      <c r="I8" s="7">
        <v>250</v>
      </c>
      <c r="J8" s="17" t="s">
        <v>31</v>
      </c>
    </row>
    <row r="9" spans="1:10" s="6" customFormat="1" ht="16.5">
      <c r="A9" s="9">
        <v>8</v>
      </c>
      <c r="B9" s="21" t="s">
        <v>46</v>
      </c>
      <c r="C9" s="20" t="s">
        <v>47</v>
      </c>
      <c r="D9" s="20" t="s">
        <v>12</v>
      </c>
      <c r="E9" s="20" t="s">
        <v>13</v>
      </c>
      <c r="F9" s="20" t="s">
        <v>14</v>
      </c>
      <c r="G9" s="20" t="s">
        <v>15</v>
      </c>
      <c r="H9" s="20">
        <v>2000</v>
      </c>
      <c r="I9" s="20">
        <v>350</v>
      </c>
      <c r="J9" s="17" t="s">
        <v>38</v>
      </c>
    </row>
    <row r="10" spans="1:10" s="6" customFormat="1" ht="16.5">
      <c r="A10" s="10">
        <v>9</v>
      </c>
      <c r="B10" s="21" t="s">
        <v>10</v>
      </c>
      <c r="C10" s="17" t="s">
        <v>51</v>
      </c>
      <c r="D10" s="16" t="s">
        <v>52</v>
      </c>
      <c r="E10" s="20" t="s">
        <v>28</v>
      </c>
      <c r="F10" s="20" t="s">
        <v>23</v>
      </c>
      <c r="G10" s="20" t="s">
        <v>53</v>
      </c>
      <c r="H10" s="20">
        <v>2000</v>
      </c>
      <c r="I10" s="20">
        <v>70</v>
      </c>
      <c r="J10" s="17" t="s">
        <v>38</v>
      </c>
    </row>
    <row r="11" spans="1:10" s="6" customFormat="1" ht="33.75">
      <c r="A11" s="9">
        <v>10</v>
      </c>
      <c r="B11" s="21" t="s">
        <v>46</v>
      </c>
      <c r="C11" s="17" t="s">
        <v>54</v>
      </c>
      <c r="D11" s="16" t="s">
        <v>12</v>
      </c>
      <c r="E11" s="20" t="s">
        <v>55</v>
      </c>
      <c r="F11" s="20" t="s">
        <v>82</v>
      </c>
      <c r="G11" s="20" t="s">
        <v>24</v>
      </c>
      <c r="H11" s="20">
        <v>2000</v>
      </c>
      <c r="I11" s="20">
        <v>100</v>
      </c>
      <c r="J11" s="17" t="s">
        <v>56</v>
      </c>
    </row>
    <row r="12" spans="1:10" s="6" customFormat="1" ht="22.5" customHeight="1">
      <c r="A12" s="10">
        <v>11</v>
      </c>
      <c r="B12" s="21" t="s">
        <v>46</v>
      </c>
      <c r="C12" s="22" t="s">
        <v>59</v>
      </c>
      <c r="D12" s="22" t="s">
        <v>27</v>
      </c>
      <c r="E12" s="21" t="s">
        <v>55</v>
      </c>
      <c r="F12" s="22" t="s">
        <v>41</v>
      </c>
      <c r="G12" s="22" t="s">
        <v>60</v>
      </c>
      <c r="H12" s="21" t="s">
        <v>61</v>
      </c>
      <c r="I12" s="21">
        <v>100</v>
      </c>
      <c r="J12" s="23" t="s">
        <v>61</v>
      </c>
    </row>
    <row r="13" spans="1:10" ht="22.5" customHeight="1">
      <c r="A13" s="9">
        <v>12</v>
      </c>
      <c r="B13" s="7" t="s">
        <v>10</v>
      </c>
      <c r="C13" s="8" t="s">
        <v>62</v>
      </c>
      <c r="D13" s="8" t="s">
        <v>27</v>
      </c>
      <c r="E13" s="7" t="s">
        <v>55</v>
      </c>
      <c r="F13" s="8" t="s">
        <v>41</v>
      </c>
      <c r="G13" s="8" t="s">
        <v>63</v>
      </c>
      <c r="H13" s="7">
        <v>1000</v>
      </c>
      <c r="I13" s="7">
        <v>100</v>
      </c>
      <c r="J13" s="17" t="s">
        <v>64</v>
      </c>
    </row>
    <row r="14" spans="1:10" ht="16.5">
      <c r="A14" s="10">
        <v>13</v>
      </c>
      <c r="B14" s="21" t="s">
        <v>10</v>
      </c>
      <c r="C14" s="25" t="s">
        <v>65</v>
      </c>
      <c r="D14" s="19" t="s">
        <v>66</v>
      </c>
      <c r="E14" s="20" t="s">
        <v>28</v>
      </c>
      <c r="F14" s="8" t="s">
        <v>41</v>
      </c>
      <c r="G14" s="23" t="s">
        <v>24</v>
      </c>
      <c r="H14" s="20">
        <v>2000</v>
      </c>
      <c r="I14" s="20">
        <v>100</v>
      </c>
      <c r="J14" s="17" t="s">
        <v>38</v>
      </c>
    </row>
    <row r="15" spans="1:10" ht="20.45" customHeight="1">
      <c r="A15" s="9">
        <v>14</v>
      </c>
      <c r="B15" s="8" t="s">
        <v>46</v>
      </c>
      <c r="C15" s="8" t="s">
        <v>67</v>
      </c>
      <c r="D15" s="8" t="s">
        <v>12</v>
      </c>
      <c r="E15" s="8" t="s">
        <v>19</v>
      </c>
      <c r="F15" s="7" t="s">
        <v>23</v>
      </c>
      <c r="G15" s="7" t="s">
        <v>68</v>
      </c>
      <c r="H15" s="7">
        <v>2000</v>
      </c>
      <c r="I15" s="7">
        <v>400</v>
      </c>
      <c r="J15" s="17" t="s">
        <v>38</v>
      </c>
    </row>
    <row r="16" spans="1:10" ht="19.5" customHeight="1">
      <c r="A16" s="10">
        <v>15</v>
      </c>
      <c r="B16" s="8" t="s">
        <v>46</v>
      </c>
      <c r="C16" s="7" t="s">
        <v>69</v>
      </c>
      <c r="D16" s="8" t="s">
        <v>12</v>
      </c>
      <c r="E16" s="8" t="s">
        <v>19</v>
      </c>
      <c r="F16" s="7" t="s">
        <v>23</v>
      </c>
      <c r="G16" s="7" t="s">
        <v>68</v>
      </c>
      <c r="H16" s="7">
        <v>1000</v>
      </c>
      <c r="I16" s="7">
        <v>200</v>
      </c>
      <c r="J16" s="17" t="s">
        <v>38</v>
      </c>
    </row>
    <row r="17" spans="1:10" ht="21" customHeight="1">
      <c r="A17" s="9">
        <v>16</v>
      </c>
      <c r="B17" s="8" t="s">
        <v>46</v>
      </c>
      <c r="C17" s="7" t="s">
        <v>70</v>
      </c>
      <c r="D17" s="8" t="s">
        <v>12</v>
      </c>
      <c r="E17" s="8" t="s">
        <v>19</v>
      </c>
      <c r="F17" s="7" t="s">
        <v>23</v>
      </c>
      <c r="G17" s="7" t="s">
        <v>68</v>
      </c>
      <c r="H17" s="7">
        <v>2000</v>
      </c>
      <c r="I17" s="7">
        <v>600</v>
      </c>
      <c r="J17" s="17" t="s">
        <v>38</v>
      </c>
    </row>
    <row r="18" spans="1:10" ht="21" customHeight="1">
      <c r="A18" s="10">
        <v>17</v>
      </c>
      <c r="B18" s="8" t="s">
        <v>46</v>
      </c>
      <c r="C18" s="7" t="s">
        <v>71</v>
      </c>
      <c r="D18" s="8" t="s">
        <v>12</v>
      </c>
      <c r="E18" s="8" t="s">
        <v>28</v>
      </c>
      <c r="F18" s="7" t="s">
        <v>72</v>
      </c>
      <c r="G18" s="23" t="s">
        <v>24</v>
      </c>
      <c r="H18" s="7">
        <v>3000</v>
      </c>
      <c r="I18" s="7">
        <v>500</v>
      </c>
      <c r="J18" s="17" t="s">
        <v>38</v>
      </c>
    </row>
    <row r="19" spans="1:10" ht="21" customHeight="1">
      <c r="A19" s="9">
        <v>18</v>
      </c>
      <c r="B19" s="8" t="s">
        <v>46</v>
      </c>
      <c r="C19" s="7" t="s">
        <v>73</v>
      </c>
      <c r="D19" s="8" t="s">
        <v>12</v>
      </c>
      <c r="E19" s="8" t="s">
        <v>19</v>
      </c>
      <c r="F19" s="7" t="s">
        <v>72</v>
      </c>
      <c r="G19" s="23" t="s">
        <v>24</v>
      </c>
      <c r="H19" s="7">
        <v>10000</v>
      </c>
      <c r="I19" s="7">
        <v>1000</v>
      </c>
      <c r="J19" s="17" t="s">
        <v>38</v>
      </c>
    </row>
    <row r="20" spans="1:10" s="4" customFormat="1" ht="33.75">
      <c r="A20" s="10">
        <v>19</v>
      </c>
      <c r="B20" s="21" t="s">
        <v>10</v>
      </c>
      <c r="C20" s="17" t="s">
        <v>112</v>
      </c>
      <c r="D20" s="16" t="s">
        <v>12</v>
      </c>
      <c r="E20" s="20" t="s">
        <v>28</v>
      </c>
      <c r="F20" s="7" t="s">
        <v>41</v>
      </c>
      <c r="G20" s="23" t="s">
        <v>68</v>
      </c>
      <c r="H20" s="20">
        <v>7000</v>
      </c>
      <c r="I20" s="20">
        <v>1000</v>
      </c>
      <c r="J20" s="17" t="s">
        <v>38</v>
      </c>
    </row>
    <row r="21" spans="1:10" ht="16.5">
      <c r="A21" s="9">
        <v>20</v>
      </c>
      <c r="B21" s="21" t="s">
        <v>10</v>
      </c>
      <c r="C21" s="17" t="s">
        <v>75</v>
      </c>
      <c r="D21" s="16" t="s">
        <v>76</v>
      </c>
      <c r="E21" s="20" t="s">
        <v>28</v>
      </c>
      <c r="F21" s="7" t="s">
        <v>14</v>
      </c>
      <c r="G21" s="23" t="s">
        <v>53</v>
      </c>
      <c r="H21" s="41">
        <v>5000</v>
      </c>
      <c r="I21" s="41">
        <v>2000</v>
      </c>
      <c r="J21" s="17" t="s">
        <v>31</v>
      </c>
    </row>
    <row r="22" spans="1:10" ht="16.5">
      <c r="A22" s="10">
        <v>21</v>
      </c>
      <c r="B22" s="21" t="s">
        <v>10</v>
      </c>
      <c r="C22" s="41" t="s">
        <v>113</v>
      </c>
      <c r="D22" s="41" t="s">
        <v>78</v>
      </c>
      <c r="E22" s="20" t="s">
        <v>28</v>
      </c>
      <c r="F22" s="7" t="s">
        <v>41</v>
      </c>
      <c r="G22" s="23" t="s">
        <v>53</v>
      </c>
      <c r="H22" s="41">
        <v>3000</v>
      </c>
      <c r="I22" s="41">
        <v>400</v>
      </c>
      <c r="J22" s="41" t="s">
        <v>38</v>
      </c>
    </row>
    <row r="23" spans="1:10" ht="30.75">
      <c r="A23" s="9">
        <v>22</v>
      </c>
      <c r="B23" s="65" t="s">
        <v>93</v>
      </c>
      <c r="C23" s="65" t="s">
        <v>94</v>
      </c>
      <c r="D23" s="100" t="s">
        <v>95</v>
      </c>
      <c r="E23" s="65" t="s">
        <v>55</v>
      </c>
      <c r="F23" s="65" t="s">
        <v>23</v>
      </c>
      <c r="G23" s="65" t="s">
        <v>96</v>
      </c>
      <c r="H23" s="65">
        <v>2000</v>
      </c>
      <c r="I23" s="109">
        <v>500</v>
      </c>
      <c r="J23" s="110" t="s">
        <v>114</v>
      </c>
    </row>
    <row r="24" spans="1:10" ht="16.5">
      <c r="A24" s="10">
        <v>23</v>
      </c>
      <c r="B24" s="106" t="s">
        <v>46</v>
      </c>
      <c r="C24" s="78" t="s">
        <v>98</v>
      </c>
      <c r="D24" s="78" t="s">
        <v>66</v>
      </c>
      <c r="E24" s="79" t="s">
        <v>55</v>
      </c>
      <c r="F24" s="80" t="s">
        <v>41</v>
      </c>
      <c r="G24" s="81" t="s">
        <v>53</v>
      </c>
      <c r="H24" s="81">
        <v>1000</v>
      </c>
      <c r="I24" s="108">
        <v>250</v>
      </c>
      <c r="J24" s="65" t="s">
        <v>56</v>
      </c>
    </row>
    <row r="25" spans="1:10" ht="16.5">
      <c r="A25" s="9">
        <v>24</v>
      </c>
      <c r="B25" s="106" t="s">
        <v>10</v>
      </c>
      <c r="C25" s="78" t="s">
        <v>100</v>
      </c>
      <c r="D25" s="78" t="s">
        <v>66</v>
      </c>
      <c r="E25" s="79" t="s">
        <v>55</v>
      </c>
      <c r="F25" s="80" t="s">
        <v>41</v>
      </c>
      <c r="G25" s="81" t="s">
        <v>53</v>
      </c>
      <c r="H25" s="81">
        <v>3000</v>
      </c>
      <c r="I25" s="82">
        <v>1000</v>
      </c>
      <c r="J25" s="82" t="s">
        <v>36</v>
      </c>
    </row>
    <row r="26" spans="1:10" ht="16.5">
      <c r="A26" s="10">
        <v>25</v>
      </c>
      <c r="B26" s="77" t="s">
        <v>10</v>
      </c>
      <c r="C26" s="78" t="s">
        <v>101</v>
      </c>
      <c r="D26" s="78" t="s">
        <v>66</v>
      </c>
      <c r="E26" s="79" t="s">
        <v>55</v>
      </c>
      <c r="F26" s="80" t="s">
        <v>102</v>
      </c>
      <c r="G26" s="81" t="s">
        <v>24</v>
      </c>
      <c r="H26" s="81">
        <v>1000</v>
      </c>
      <c r="I26" s="82">
        <v>100</v>
      </c>
      <c r="J26" s="82" t="s">
        <v>56</v>
      </c>
    </row>
    <row r="27" spans="1:10" ht="16.5">
      <c r="A27" s="9">
        <v>26</v>
      </c>
      <c r="B27" s="86" t="s">
        <v>10</v>
      </c>
      <c r="C27" s="78" t="s">
        <v>103</v>
      </c>
      <c r="D27" s="78" t="s">
        <v>66</v>
      </c>
      <c r="E27" s="79" t="s">
        <v>55</v>
      </c>
      <c r="F27" s="80" t="s">
        <v>41</v>
      </c>
      <c r="G27" s="81" t="s">
        <v>53</v>
      </c>
      <c r="H27" s="81">
        <v>1000</v>
      </c>
      <c r="I27" s="82">
        <v>100</v>
      </c>
      <c r="J27" s="82" t="s">
        <v>56</v>
      </c>
    </row>
    <row r="28" spans="1:10" ht="15.75">
      <c r="A28" s="10">
        <v>27</v>
      </c>
      <c r="B28" s="65" t="s">
        <v>46</v>
      </c>
      <c r="C28" s="65" t="s">
        <v>115</v>
      </c>
      <c r="D28" s="65" t="s">
        <v>12</v>
      </c>
      <c r="E28" s="97" t="s">
        <v>28</v>
      </c>
      <c r="F28" s="80" t="s">
        <v>72</v>
      </c>
      <c r="G28" s="85" t="s">
        <v>24</v>
      </c>
      <c r="H28" s="65"/>
      <c r="I28" s="65">
        <v>150</v>
      </c>
      <c r="J28" s="65" t="s">
        <v>56</v>
      </c>
    </row>
  </sheetData>
  <dataValidations count="1">
    <dataValidation type="list" allowBlank="1" showInputMessage="1" showErrorMessage="1" sqref="F2:F22 F24:F28" xr:uid="{6223FC21-F86F-4F4F-AC45-DB8BC48CF6EA}">
      <formula1>"Implementation,Appraisal,Negotiation,Completed,Shelved"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D3E40-337C-4F66-8D71-5C3D7ECFB7B8}">
  <dimension ref="A1:J8"/>
  <sheetViews>
    <sheetView workbookViewId="0">
      <selection activeCell="B2" sqref="B2:J2"/>
    </sheetView>
  </sheetViews>
  <sheetFormatPr defaultRowHeight="14.45"/>
  <cols>
    <col min="1" max="1" width="10.5703125" customWidth="1"/>
    <col min="3" max="3" width="21.140625" customWidth="1"/>
    <col min="4" max="4" width="14.85546875" customWidth="1"/>
    <col min="5" max="5" width="18.85546875" customWidth="1"/>
    <col min="6" max="6" width="17.7109375" customWidth="1"/>
    <col min="7" max="7" width="14.85546875" customWidth="1"/>
    <col min="8" max="8" width="14.140625" customWidth="1"/>
    <col min="9" max="9" width="17.28515625" customWidth="1"/>
    <col min="10" max="10" width="20.5703125" customWidth="1"/>
  </cols>
  <sheetData>
    <row r="1" spans="1:10" ht="48" customHeight="1">
      <c r="A1" s="26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spans="1:10" ht="24" customHeight="1">
      <c r="A2" s="12">
        <v>1</v>
      </c>
      <c r="B2" s="7" t="s">
        <v>32</v>
      </c>
      <c r="C2" s="7" t="s">
        <v>33</v>
      </c>
      <c r="D2" s="7" t="s">
        <v>34</v>
      </c>
      <c r="E2" s="7" t="s">
        <v>28</v>
      </c>
      <c r="F2" s="8" t="s">
        <v>23</v>
      </c>
      <c r="G2" s="8" t="s">
        <v>35</v>
      </c>
      <c r="H2" s="7">
        <v>1000</v>
      </c>
      <c r="I2" s="15">
        <v>50</v>
      </c>
      <c r="J2" s="17" t="s">
        <v>36</v>
      </c>
    </row>
    <row r="3" spans="1:10" ht="15.6">
      <c r="A3" s="12">
        <v>2</v>
      </c>
      <c r="B3" s="7" t="s">
        <v>32</v>
      </c>
      <c r="C3" s="16" t="s">
        <v>42</v>
      </c>
      <c r="D3" s="16" t="s">
        <v>34</v>
      </c>
      <c r="E3" s="16" t="s">
        <v>28</v>
      </c>
      <c r="F3" s="20" t="s">
        <v>23</v>
      </c>
      <c r="G3" s="16" t="s">
        <v>35</v>
      </c>
      <c r="H3" s="16">
        <v>3000</v>
      </c>
      <c r="I3" s="16">
        <v>400</v>
      </c>
      <c r="J3" s="17" t="s">
        <v>43</v>
      </c>
    </row>
    <row r="4" spans="1:10" ht="15.6">
      <c r="A4" s="12">
        <v>3</v>
      </c>
      <c r="B4" s="7" t="s">
        <v>32</v>
      </c>
      <c r="C4" s="16" t="s">
        <v>44</v>
      </c>
      <c r="D4" s="16" t="s">
        <v>45</v>
      </c>
      <c r="E4" s="16" t="s">
        <v>28</v>
      </c>
      <c r="F4" s="20" t="s">
        <v>41</v>
      </c>
      <c r="G4" s="16" t="s">
        <v>35</v>
      </c>
      <c r="H4" s="16">
        <v>500</v>
      </c>
      <c r="I4" s="16">
        <v>27</v>
      </c>
      <c r="J4" s="17" t="s">
        <v>38</v>
      </c>
    </row>
    <row r="5" spans="1:10" s="6" customFormat="1" ht="15.6">
      <c r="A5" s="12">
        <v>4</v>
      </c>
      <c r="B5" s="21" t="s">
        <v>48</v>
      </c>
      <c r="C5" s="20" t="s">
        <v>49</v>
      </c>
      <c r="D5" s="20" t="s">
        <v>27</v>
      </c>
      <c r="E5" s="20" t="s">
        <v>13</v>
      </c>
      <c r="F5" s="20" t="s">
        <v>23</v>
      </c>
      <c r="G5" s="20" t="s">
        <v>50</v>
      </c>
      <c r="H5" s="20">
        <v>1000</v>
      </c>
      <c r="I5" s="20">
        <v>80</v>
      </c>
      <c r="J5" s="17" t="s">
        <v>38</v>
      </c>
    </row>
    <row r="6" spans="1:10" s="6" customFormat="1" ht="18.600000000000001" customHeight="1">
      <c r="A6" s="12">
        <v>5</v>
      </c>
      <c r="B6" s="7" t="s">
        <v>32</v>
      </c>
      <c r="C6" s="7" t="s">
        <v>57</v>
      </c>
      <c r="D6" s="8" t="s">
        <v>27</v>
      </c>
      <c r="E6" s="7" t="s">
        <v>28</v>
      </c>
      <c r="F6" s="8" t="s">
        <v>14</v>
      </c>
      <c r="G6" s="8" t="s">
        <v>35</v>
      </c>
      <c r="H6" s="7">
        <v>500</v>
      </c>
      <c r="I6" s="7">
        <v>100</v>
      </c>
      <c r="J6" s="17" t="s">
        <v>38</v>
      </c>
    </row>
    <row r="7" spans="1:10" s="6" customFormat="1" ht="18.600000000000001" customHeight="1">
      <c r="A7" s="12">
        <v>6</v>
      </c>
      <c r="B7" s="7" t="s">
        <v>32</v>
      </c>
      <c r="C7" s="7" t="s">
        <v>58</v>
      </c>
      <c r="D7" s="8" t="s">
        <v>27</v>
      </c>
      <c r="E7" s="7" t="s">
        <v>28</v>
      </c>
      <c r="F7" s="8" t="s">
        <v>14</v>
      </c>
      <c r="G7" s="8" t="s">
        <v>35</v>
      </c>
      <c r="H7" s="7">
        <v>500</v>
      </c>
      <c r="I7" s="7">
        <v>100</v>
      </c>
      <c r="J7" s="17" t="s">
        <v>38</v>
      </c>
    </row>
    <row r="8" spans="1:10">
      <c r="A8" s="3"/>
      <c r="B8" s="1"/>
      <c r="E8" s="1"/>
    </row>
  </sheetData>
  <dataValidations count="1">
    <dataValidation type="list" allowBlank="1" showInputMessage="1" showErrorMessage="1" sqref="F2:F8" xr:uid="{4B12EFFD-5DF6-48EF-9CEE-15E6B5560986}">
      <formula1>"Implementation,Appraisal,Negotiation,Completed,Shelved"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7572-3252-48D4-A619-1B5FDBAAD888}">
  <dimension ref="A1:K21"/>
  <sheetViews>
    <sheetView tabSelected="1" topLeftCell="B1" workbookViewId="0">
      <selection activeCell="I7" sqref="I7"/>
    </sheetView>
  </sheetViews>
  <sheetFormatPr defaultRowHeight="14.45"/>
  <cols>
    <col min="1" max="1" width="16.85546875" customWidth="1"/>
    <col min="2" max="2" width="15.42578125" customWidth="1"/>
    <col min="3" max="3" width="23.85546875" style="122" customWidth="1"/>
    <col min="4" max="4" width="21.140625" style="122" customWidth="1"/>
    <col min="5" max="5" width="22.5703125" customWidth="1"/>
    <col min="6" max="6" width="18.7109375" style="122" customWidth="1"/>
    <col min="7" max="7" width="22.42578125" style="122" customWidth="1"/>
    <col min="8" max="8" width="13.5703125" customWidth="1"/>
    <col min="9" max="9" width="16.140625" style="122" customWidth="1"/>
    <col min="10" max="10" width="17.5703125" customWidth="1"/>
  </cols>
  <sheetData>
    <row r="1" spans="1:11" ht="48" customHeight="1">
      <c r="A1" s="26" t="s">
        <v>0</v>
      </c>
      <c r="B1" s="18" t="s">
        <v>1</v>
      </c>
      <c r="C1" s="113" t="s">
        <v>2</v>
      </c>
      <c r="D1" s="113" t="s">
        <v>3</v>
      </c>
      <c r="E1" s="18" t="s">
        <v>4</v>
      </c>
      <c r="F1" s="113" t="s">
        <v>5</v>
      </c>
      <c r="G1" s="113" t="s">
        <v>6</v>
      </c>
      <c r="H1" s="18" t="s">
        <v>7</v>
      </c>
      <c r="I1" s="113" t="s">
        <v>8</v>
      </c>
      <c r="J1" s="18" t="s">
        <v>9</v>
      </c>
    </row>
    <row r="2" spans="1:11" ht="39" customHeight="1">
      <c r="A2" s="10">
        <v>1</v>
      </c>
      <c r="B2" s="8" t="s">
        <v>10</v>
      </c>
      <c r="C2" s="116" t="s">
        <v>11</v>
      </c>
      <c r="D2" s="116" t="s">
        <v>12</v>
      </c>
      <c r="E2" s="8" t="s">
        <v>13</v>
      </c>
      <c r="F2" s="116" t="s">
        <v>14</v>
      </c>
      <c r="G2" s="116" t="s">
        <v>24</v>
      </c>
      <c r="H2" s="13">
        <v>30000</v>
      </c>
      <c r="I2" s="138">
        <v>1000</v>
      </c>
      <c r="J2" s="17" t="s">
        <v>16</v>
      </c>
    </row>
    <row r="3" spans="1:11" ht="25.5" customHeight="1">
      <c r="A3" s="10">
        <v>3</v>
      </c>
      <c r="B3" s="8" t="s">
        <v>10</v>
      </c>
      <c r="C3" s="114" t="s">
        <v>111</v>
      </c>
      <c r="D3" s="114" t="s">
        <v>52</v>
      </c>
      <c r="E3" s="8" t="s">
        <v>13</v>
      </c>
      <c r="F3" s="116" t="s">
        <v>23</v>
      </c>
      <c r="G3" s="116" t="s">
        <v>24</v>
      </c>
      <c r="H3" s="7">
        <v>3000</v>
      </c>
      <c r="I3" s="114">
        <v>400</v>
      </c>
      <c r="J3" s="17" t="s">
        <v>38</v>
      </c>
    </row>
    <row r="4" spans="1:11" s="6" customFormat="1" ht="36.6" customHeight="1">
      <c r="A4" s="9">
        <v>4</v>
      </c>
      <c r="B4" s="22" t="s">
        <v>10</v>
      </c>
      <c r="C4" s="114" t="s">
        <v>22</v>
      </c>
      <c r="D4" s="114" t="s">
        <v>12</v>
      </c>
      <c r="E4" s="22" t="s">
        <v>13</v>
      </c>
      <c r="F4" s="116" t="s">
        <v>23</v>
      </c>
      <c r="G4" s="116" t="s">
        <v>24</v>
      </c>
      <c r="H4" s="21">
        <v>10000</v>
      </c>
      <c r="I4" s="114">
        <v>1200</v>
      </c>
      <c r="J4" s="17" t="s">
        <v>25</v>
      </c>
    </row>
    <row r="5" spans="1:11" s="6" customFormat="1" ht="15.6">
      <c r="A5" s="10">
        <v>5</v>
      </c>
      <c r="B5" s="21" t="s">
        <v>46</v>
      </c>
      <c r="C5" s="115" t="s">
        <v>47</v>
      </c>
      <c r="D5" s="115" t="s">
        <v>12</v>
      </c>
      <c r="E5" s="20" t="s">
        <v>13</v>
      </c>
      <c r="F5" s="115" t="s">
        <v>14</v>
      </c>
      <c r="G5" s="115" t="s">
        <v>24</v>
      </c>
      <c r="H5" s="20">
        <v>2000</v>
      </c>
      <c r="I5" s="115">
        <v>350</v>
      </c>
      <c r="J5" s="17" t="s">
        <v>38</v>
      </c>
    </row>
    <row r="6" spans="1:11" ht="32.25" customHeight="1">
      <c r="A6" s="10">
        <v>7</v>
      </c>
      <c r="B6" s="8" t="s">
        <v>46</v>
      </c>
      <c r="C6" s="116" t="s">
        <v>67</v>
      </c>
      <c r="D6" s="116" t="s">
        <v>12</v>
      </c>
      <c r="E6" s="8" t="s">
        <v>19</v>
      </c>
      <c r="F6" s="114" t="s">
        <v>23</v>
      </c>
      <c r="G6" s="114" t="s">
        <v>68</v>
      </c>
      <c r="H6" s="7">
        <v>2000</v>
      </c>
      <c r="I6" s="114">
        <v>400</v>
      </c>
      <c r="J6" s="17" t="s">
        <v>38</v>
      </c>
      <c r="K6" s="11"/>
    </row>
    <row r="7" spans="1:11" ht="19.5" customHeight="1">
      <c r="A7" s="9">
        <v>8</v>
      </c>
      <c r="B7" s="8" t="s">
        <v>46</v>
      </c>
      <c r="C7" s="123" t="s">
        <v>69</v>
      </c>
      <c r="D7" s="135" t="s">
        <v>12</v>
      </c>
      <c r="E7" s="91" t="s">
        <v>19</v>
      </c>
      <c r="F7" s="123" t="s">
        <v>23</v>
      </c>
      <c r="G7" s="123" t="s">
        <v>68</v>
      </c>
      <c r="H7" s="72">
        <v>1000</v>
      </c>
      <c r="I7" s="123">
        <v>200</v>
      </c>
      <c r="J7" s="92" t="s">
        <v>38</v>
      </c>
      <c r="K7" s="11"/>
    </row>
    <row r="8" spans="1:11" ht="21" customHeight="1">
      <c r="A8" s="10">
        <v>9</v>
      </c>
      <c r="B8" s="94" t="s">
        <v>46</v>
      </c>
      <c r="C8" s="125" t="s">
        <v>70</v>
      </c>
      <c r="D8" s="136" t="s">
        <v>12</v>
      </c>
      <c r="E8" s="90" t="s">
        <v>19</v>
      </c>
      <c r="F8" s="125" t="s">
        <v>23</v>
      </c>
      <c r="G8" s="125" t="s">
        <v>68</v>
      </c>
      <c r="H8" s="80">
        <v>2000</v>
      </c>
      <c r="I8" s="125">
        <v>600</v>
      </c>
      <c r="J8" s="93" t="s">
        <v>38</v>
      </c>
      <c r="K8" s="11"/>
    </row>
    <row r="9" spans="1:11" ht="23.25" customHeight="1">
      <c r="A9" s="89">
        <v>10</v>
      </c>
      <c r="B9" s="99" t="s">
        <v>46</v>
      </c>
      <c r="C9" s="124" t="s">
        <v>116</v>
      </c>
      <c r="D9" s="124" t="s">
        <v>12</v>
      </c>
      <c r="E9" s="95" t="s">
        <v>19</v>
      </c>
      <c r="F9" s="124" t="s">
        <v>14</v>
      </c>
      <c r="G9" s="124" t="s">
        <v>24</v>
      </c>
      <c r="H9" s="84">
        <v>6000</v>
      </c>
      <c r="I9" s="124">
        <v>1500</v>
      </c>
      <c r="J9" s="84" t="s">
        <v>25</v>
      </c>
    </row>
    <row r="10" spans="1:11" ht="23.25" customHeight="1">
      <c r="A10" s="75"/>
      <c r="B10" s="105" t="s">
        <v>10</v>
      </c>
      <c r="C10" s="137" t="s">
        <v>17</v>
      </c>
      <c r="D10" s="114" t="s">
        <v>18</v>
      </c>
      <c r="E10" s="22" t="s">
        <v>19</v>
      </c>
      <c r="F10" s="116" t="s">
        <v>72</v>
      </c>
      <c r="G10" s="116" t="s">
        <v>20</v>
      </c>
      <c r="H10" s="24">
        <v>1000</v>
      </c>
      <c r="I10" s="114">
        <v>150</v>
      </c>
      <c r="J10" s="17" t="s">
        <v>117</v>
      </c>
    </row>
    <row r="11" spans="1:11" ht="23.25" customHeight="1">
      <c r="A11" s="88" t="s">
        <v>104</v>
      </c>
      <c r="B11" s="98"/>
      <c r="E11" s="98"/>
      <c r="I11" s="122">
        <v>5800</v>
      </c>
    </row>
    <row r="12" spans="1:11" ht="23.25" customHeight="1">
      <c r="A12" s="88"/>
      <c r="B12" s="98"/>
      <c r="E12" s="98"/>
    </row>
    <row r="13" spans="1:11" ht="23.25" customHeight="1">
      <c r="A13" s="88"/>
      <c r="B13" s="98"/>
      <c r="E13" s="98"/>
    </row>
    <row r="14" spans="1:11" ht="15.6">
      <c r="A14" s="103" t="s">
        <v>105</v>
      </c>
      <c r="B14" s="103" t="s">
        <v>118</v>
      </c>
    </row>
    <row r="15" spans="1:11">
      <c r="A15" s="104" t="s">
        <v>53</v>
      </c>
      <c r="B15" s="104">
        <v>5</v>
      </c>
    </row>
    <row r="16" spans="1:11">
      <c r="A16" s="41" t="s">
        <v>68</v>
      </c>
      <c r="B16" s="41">
        <v>3</v>
      </c>
    </row>
    <row r="17" spans="1:2">
      <c r="A17" s="41" t="s">
        <v>119</v>
      </c>
      <c r="B17" s="41">
        <v>1</v>
      </c>
    </row>
    <row r="18" spans="1:2">
      <c r="A18" s="41" t="s">
        <v>35</v>
      </c>
      <c r="B18" s="41">
        <v>1</v>
      </c>
    </row>
    <row r="19" spans="1:2" ht="15"/>
    <row r="20" spans="1:2" ht="15"/>
    <row r="21" spans="1:2" ht="15"/>
  </sheetData>
  <dataValidations count="1">
    <dataValidation type="list" allowBlank="1" showInputMessage="1" showErrorMessage="1" sqref="F2:F13" xr:uid="{B828C548-08A1-4662-A9E5-2BE14F0234CB}">
      <formula1>"Implementation,Appraisal,Negotiation,Completed,Shelved"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5A39C-827A-4C86-9C7C-5F7580318DCA}">
  <dimension ref="A1:K9"/>
  <sheetViews>
    <sheetView workbookViewId="0">
      <selection activeCell="J11" sqref="J11"/>
    </sheetView>
  </sheetViews>
  <sheetFormatPr defaultRowHeight="14.45"/>
  <cols>
    <col min="2" max="2" width="11.140625" customWidth="1"/>
    <col min="3" max="3" width="26.85546875" style="122" customWidth="1"/>
    <col min="4" max="4" width="19.7109375" style="122" customWidth="1"/>
    <col min="5" max="5" width="13.140625" style="122" customWidth="1"/>
    <col min="6" max="6" width="15.140625" customWidth="1"/>
    <col min="7" max="7" width="16.140625" customWidth="1"/>
    <col min="8" max="8" width="12.42578125" customWidth="1"/>
    <col min="9" max="9" width="14.28515625" style="122" customWidth="1"/>
    <col min="10" max="10" width="17.42578125" customWidth="1"/>
  </cols>
  <sheetData>
    <row r="1" spans="1:11" ht="48" customHeight="1">
      <c r="A1" s="26" t="s">
        <v>0</v>
      </c>
      <c r="B1" s="18" t="s">
        <v>1</v>
      </c>
      <c r="C1" s="113" t="s">
        <v>2</v>
      </c>
      <c r="D1" s="113" t="s">
        <v>3</v>
      </c>
      <c r="E1" s="113" t="s">
        <v>4</v>
      </c>
      <c r="F1" s="18" t="s">
        <v>5</v>
      </c>
      <c r="G1" s="18" t="s">
        <v>6</v>
      </c>
      <c r="H1" s="18" t="s">
        <v>7</v>
      </c>
      <c r="I1" s="113" t="s">
        <v>8</v>
      </c>
      <c r="J1" s="18" t="s">
        <v>9</v>
      </c>
    </row>
    <row r="2" spans="1:11" ht="21" customHeight="1">
      <c r="A2" s="10">
        <v>2</v>
      </c>
      <c r="B2" s="8" t="s">
        <v>46</v>
      </c>
      <c r="C2" s="114" t="s">
        <v>71</v>
      </c>
      <c r="D2" s="116" t="s">
        <v>12</v>
      </c>
      <c r="E2" s="116" t="s">
        <v>28</v>
      </c>
      <c r="F2" s="7" t="s">
        <v>72</v>
      </c>
      <c r="G2" s="23" t="s">
        <v>24</v>
      </c>
      <c r="H2" s="7">
        <v>3000</v>
      </c>
      <c r="I2" s="114">
        <v>500</v>
      </c>
      <c r="J2" s="17" t="s">
        <v>38</v>
      </c>
      <c r="K2" s="11"/>
    </row>
    <row r="3" spans="1:11" ht="21" customHeight="1">
      <c r="A3" s="9">
        <v>3</v>
      </c>
      <c r="B3" s="91" t="s">
        <v>46</v>
      </c>
      <c r="C3" s="123" t="s">
        <v>73</v>
      </c>
      <c r="D3" s="135" t="s">
        <v>12</v>
      </c>
      <c r="E3" s="135" t="s">
        <v>19</v>
      </c>
      <c r="F3" s="72" t="s">
        <v>72</v>
      </c>
      <c r="G3" s="73" t="s">
        <v>24</v>
      </c>
      <c r="H3" s="72">
        <v>10000</v>
      </c>
      <c r="I3" s="123">
        <v>1000</v>
      </c>
      <c r="J3" s="92" t="s">
        <v>120</v>
      </c>
      <c r="K3" s="11"/>
    </row>
    <row r="4" spans="1:11" ht="16.5">
      <c r="A4" s="75">
        <v>5</v>
      </c>
      <c r="B4" s="65" t="s">
        <v>46</v>
      </c>
      <c r="C4" s="139" t="s">
        <v>121</v>
      </c>
      <c r="D4" s="139" t="s">
        <v>122</v>
      </c>
      <c r="E4" s="136" t="s">
        <v>19</v>
      </c>
      <c r="F4" s="96" t="s">
        <v>72</v>
      </c>
      <c r="G4" s="65" t="s">
        <v>24</v>
      </c>
      <c r="H4" s="65">
        <v>500</v>
      </c>
      <c r="I4" s="139">
        <v>150</v>
      </c>
      <c r="J4" s="65" t="s">
        <v>38</v>
      </c>
    </row>
    <row r="5" spans="1:11" ht="15.75">
      <c r="A5" s="65">
        <v>6</v>
      </c>
      <c r="B5" s="65" t="s">
        <v>46</v>
      </c>
      <c r="C5" s="139" t="s">
        <v>115</v>
      </c>
      <c r="D5" s="139" t="s">
        <v>12</v>
      </c>
      <c r="E5" s="140" t="s">
        <v>28</v>
      </c>
      <c r="F5" s="80" t="s">
        <v>72</v>
      </c>
      <c r="G5" s="85" t="s">
        <v>24</v>
      </c>
      <c r="H5" s="65"/>
      <c r="I5" s="139">
        <v>150</v>
      </c>
      <c r="J5" s="65" t="s">
        <v>123</v>
      </c>
    </row>
    <row r="6" spans="1:11" ht="15.75">
      <c r="F6" s="44"/>
    </row>
    <row r="8" spans="1:11" ht="15"/>
    <row r="9" spans="1:11" ht="15"/>
  </sheetData>
  <dataValidations count="1">
    <dataValidation type="list" allowBlank="1" showInputMessage="1" showErrorMessage="1" sqref="F2:F6" xr:uid="{BD90880F-DDB2-4072-B28B-3E70545B337C}">
      <formula1>"Implementation,Appraisal,Negotiation,Completed,Shelved"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9F74-5E53-4B28-B3ED-E4D3121F9C29}">
  <dimension ref="A1:Q18"/>
  <sheetViews>
    <sheetView topLeftCell="D1" workbookViewId="0">
      <selection activeCell="J1" sqref="J1:J1048576"/>
    </sheetView>
  </sheetViews>
  <sheetFormatPr defaultRowHeight="15" customHeight="1"/>
  <cols>
    <col min="2" max="2" width="11.7109375" customWidth="1"/>
    <col min="3" max="3" width="25.42578125" customWidth="1"/>
    <col min="4" max="4" width="16.42578125" style="122" customWidth="1"/>
    <col min="5" max="5" width="15" customWidth="1"/>
    <col min="6" max="6" width="13.140625" style="122" customWidth="1"/>
    <col min="7" max="7" width="17.42578125" customWidth="1"/>
    <col min="8" max="8" width="17.42578125" style="122" customWidth="1"/>
    <col min="9" max="9" width="15.5703125" customWidth="1"/>
    <col min="10" max="10" width="12.42578125" style="122" customWidth="1"/>
    <col min="11" max="11" width="18.42578125" customWidth="1"/>
    <col min="12" max="12" width="6" customWidth="1"/>
    <col min="14" max="14" width="9.140625" style="122"/>
    <col min="16" max="16" width="15" customWidth="1"/>
    <col min="17" max="17" width="16.140625" customWidth="1"/>
  </cols>
  <sheetData>
    <row r="1" spans="1:17" ht="48" customHeight="1">
      <c r="A1" s="57" t="s">
        <v>0</v>
      </c>
      <c r="B1" s="18" t="s">
        <v>1</v>
      </c>
      <c r="C1" s="18" t="s">
        <v>2</v>
      </c>
      <c r="D1" s="113" t="s">
        <v>3</v>
      </c>
      <c r="E1" s="18" t="s">
        <v>4</v>
      </c>
      <c r="F1" s="113" t="s">
        <v>5</v>
      </c>
      <c r="G1" s="18" t="s">
        <v>6</v>
      </c>
      <c r="H1" s="113" t="s">
        <v>87</v>
      </c>
      <c r="I1" s="18" t="s">
        <v>7</v>
      </c>
      <c r="J1" s="113" t="s">
        <v>124</v>
      </c>
      <c r="K1" s="18" t="s">
        <v>125</v>
      </c>
      <c r="L1" s="18" t="s">
        <v>126</v>
      </c>
      <c r="M1" s="18" t="s">
        <v>127</v>
      </c>
      <c r="N1" s="113" t="s">
        <v>8</v>
      </c>
      <c r="O1" s="18" t="s">
        <v>9</v>
      </c>
      <c r="P1" s="56" t="s">
        <v>128</v>
      </c>
      <c r="Q1" s="56" t="s">
        <v>129</v>
      </c>
    </row>
    <row r="2" spans="1:17" ht="24.75" customHeight="1">
      <c r="A2" s="10">
        <v>1</v>
      </c>
      <c r="B2" s="22" t="s">
        <v>10</v>
      </c>
      <c r="C2" s="21" t="s">
        <v>22</v>
      </c>
      <c r="D2" s="114" t="s">
        <v>12</v>
      </c>
      <c r="E2" s="22" t="s">
        <v>13</v>
      </c>
      <c r="F2" s="116" t="s">
        <v>23</v>
      </c>
      <c r="G2" s="22" t="s">
        <v>24</v>
      </c>
      <c r="H2" s="116" t="s">
        <v>130</v>
      </c>
      <c r="I2" s="21">
        <v>10000</v>
      </c>
      <c r="J2" s="114">
        <v>300</v>
      </c>
      <c r="K2" s="7"/>
      <c r="L2" s="7"/>
      <c r="M2" s="7"/>
      <c r="N2" s="114">
        <v>1200</v>
      </c>
      <c r="O2" s="17" t="s">
        <v>25</v>
      </c>
      <c r="P2" s="41" t="s">
        <v>31</v>
      </c>
      <c r="Q2" s="41" t="s">
        <v>131</v>
      </c>
    </row>
    <row r="3" spans="1:17" ht="33.75">
      <c r="A3" s="9">
        <v>2</v>
      </c>
      <c r="B3" s="21" t="s">
        <v>10</v>
      </c>
      <c r="C3" s="23" t="s">
        <v>112</v>
      </c>
      <c r="D3" s="115" t="s">
        <v>12</v>
      </c>
      <c r="E3" s="20" t="s">
        <v>28</v>
      </c>
      <c r="F3" s="114" t="s">
        <v>41</v>
      </c>
      <c r="G3" s="23" t="s">
        <v>108</v>
      </c>
      <c r="H3" s="131" t="s">
        <v>108</v>
      </c>
      <c r="I3" s="20">
        <v>7000</v>
      </c>
      <c r="J3" s="115">
        <v>300</v>
      </c>
      <c r="K3" s="16">
        <v>700</v>
      </c>
      <c r="L3" s="16"/>
      <c r="M3" s="16"/>
      <c r="N3" s="115">
        <v>1000</v>
      </c>
      <c r="O3" s="23" t="s">
        <v>38</v>
      </c>
      <c r="P3" s="23" t="s">
        <v>132</v>
      </c>
      <c r="Q3" s="63" t="s">
        <v>133</v>
      </c>
    </row>
    <row r="4" spans="1:17" ht="19.5" customHeight="1">
      <c r="A4" s="9">
        <v>4</v>
      </c>
      <c r="B4" s="8" t="s">
        <v>46</v>
      </c>
      <c r="C4" s="7" t="s">
        <v>70</v>
      </c>
      <c r="D4" s="116" t="s">
        <v>12</v>
      </c>
      <c r="E4" s="8" t="s">
        <v>19</v>
      </c>
      <c r="F4" s="114" t="s">
        <v>23</v>
      </c>
      <c r="G4" s="7" t="s">
        <v>68</v>
      </c>
      <c r="H4" s="114" t="s">
        <v>68</v>
      </c>
      <c r="I4" s="7">
        <v>2000</v>
      </c>
      <c r="J4" s="114">
        <v>120</v>
      </c>
      <c r="K4" s="7">
        <v>250</v>
      </c>
      <c r="L4" s="7">
        <v>450</v>
      </c>
      <c r="M4" s="7">
        <v>600</v>
      </c>
      <c r="N4" s="114">
        <v>600</v>
      </c>
      <c r="O4" s="17" t="s">
        <v>38</v>
      </c>
      <c r="P4" s="41" t="s">
        <v>134</v>
      </c>
      <c r="Q4" s="41" t="s">
        <v>133</v>
      </c>
    </row>
    <row r="5" spans="1:17" ht="21.75" customHeight="1">
      <c r="A5" s="10">
        <v>5</v>
      </c>
      <c r="B5" s="21" t="s">
        <v>10</v>
      </c>
      <c r="C5" s="64" t="s">
        <v>135</v>
      </c>
      <c r="D5" s="141" t="s">
        <v>78</v>
      </c>
      <c r="E5" s="20" t="s">
        <v>28</v>
      </c>
      <c r="F5" s="114" t="s">
        <v>41</v>
      </c>
      <c r="G5" s="23" t="s">
        <v>53</v>
      </c>
      <c r="H5" s="131" t="s">
        <v>99</v>
      </c>
      <c r="I5" s="41">
        <v>3000</v>
      </c>
      <c r="J5" s="143"/>
      <c r="K5" s="41"/>
      <c r="L5" s="41"/>
      <c r="M5" s="41"/>
      <c r="N5" s="143">
        <v>400</v>
      </c>
      <c r="O5" s="41" t="s">
        <v>38</v>
      </c>
      <c r="P5" s="55" t="s">
        <v>136</v>
      </c>
      <c r="Q5" s="63" t="s">
        <v>133</v>
      </c>
    </row>
    <row r="6" spans="1:17" ht="30.75">
      <c r="A6" s="9">
        <v>6</v>
      </c>
      <c r="B6" s="8" t="s">
        <v>46</v>
      </c>
      <c r="C6" s="8" t="s">
        <v>137</v>
      </c>
      <c r="D6" s="116" t="s">
        <v>12</v>
      </c>
      <c r="E6" s="8" t="s">
        <v>19</v>
      </c>
      <c r="F6" s="114" t="s">
        <v>23</v>
      </c>
      <c r="G6" s="7" t="s">
        <v>68</v>
      </c>
      <c r="H6" s="114" t="s">
        <v>68</v>
      </c>
      <c r="I6" s="7">
        <v>2000</v>
      </c>
      <c r="J6" s="114">
        <v>120</v>
      </c>
      <c r="K6" s="7">
        <v>250</v>
      </c>
      <c r="L6" s="7">
        <v>350</v>
      </c>
      <c r="M6" s="7">
        <v>400</v>
      </c>
      <c r="N6" s="114">
        <v>400</v>
      </c>
      <c r="O6" s="17" t="s">
        <v>38</v>
      </c>
      <c r="P6" s="55" t="s">
        <v>138</v>
      </c>
      <c r="Q6" s="41" t="s">
        <v>133</v>
      </c>
    </row>
    <row r="7" spans="1:17" ht="16.5">
      <c r="A7" s="10">
        <v>7</v>
      </c>
      <c r="B7" s="21" t="s">
        <v>46</v>
      </c>
      <c r="C7" s="20" t="s">
        <v>47</v>
      </c>
      <c r="D7" s="115" t="s">
        <v>12</v>
      </c>
      <c r="E7" s="20" t="s">
        <v>13</v>
      </c>
      <c r="F7" s="115" t="s">
        <v>14</v>
      </c>
      <c r="G7" s="20" t="s">
        <v>24</v>
      </c>
      <c r="H7" s="115" t="s">
        <v>130</v>
      </c>
      <c r="I7" s="20">
        <v>2000</v>
      </c>
      <c r="J7" s="115">
        <v>100</v>
      </c>
      <c r="K7" s="16">
        <v>200</v>
      </c>
      <c r="L7" s="16">
        <v>300</v>
      </c>
      <c r="M7" s="16"/>
      <c r="N7" s="115">
        <v>350</v>
      </c>
      <c r="O7" s="17" t="s">
        <v>38</v>
      </c>
      <c r="P7" s="41" t="s">
        <v>110</v>
      </c>
      <c r="Q7" s="41" t="s">
        <v>133</v>
      </c>
    </row>
    <row r="8" spans="1:17" ht="16.5">
      <c r="A8" s="9">
        <v>8</v>
      </c>
      <c r="B8" s="7" t="s">
        <v>10</v>
      </c>
      <c r="C8" s="7" t="s">
        <v>37</v>
      </c>
      <c r="D8" s="114" t="s">
        <v>12</v>
      </c>
      <c r="E8" s="7" t="s">
        <v>28</v>
      </c>
      <c r="F8" s="116" t="s">
        <v>23</v>
      </c>
      <c r="G8" s="8" t="s">
        <v>15</v>
      </c>
      <c r="H8" s="116" t="s">
        <v>99</v>
      </c>
      <c r="I8" s="7">
        <v>3000</v>
      </c>
      <c r="J8" s="114"/>
      <c r="K8" s="7"/>
      <c r="L8" s="7"/>
      <c r="M8" s="7"/>
      <c r="N8" s="127">
        <v>300</v>
      </c>
      <c r="O8" s="17" t="s">
        <v>38</v>
      </c>
      <c r="P8" s="41" t="s">
        <v>110</v>
      </c>
      <c r="Q8" s="55" t="s">
        <v>133</v>
      </c>
    </row>
    <row r="9" spans="1:17" ht="16.5">
      <c r="A9" s="10">
        <v>9</v>
      </c>
      <c r="B9" s="8" t="s">
        <v>46</v>
      </c>
      <c r="C9" s="7" t="s">
        <v>69</v>
      </c>
      <c r="D9" s="116" t="s">
        <v>12</v>
      </c>
      <c r="E9" s="8" t="s">
        <v>19</v>
      </c>
      <c r="F9" s="114" t="s">
        <v>23</v>
      </c>
      <c r="G9" s="7" t="s">
        <v>68</v>
      </c>
      <c r="H9" s="114" t="s">
        <v>68</v>
      </c>
      <c r="I9" s="7">
        <v>1000</v>
      </c>
      <c r="J9" s="114">
        <v>100</v>
      </c>
      <c r="K9" s="7">
        <v>150</v>
      </c>
      <c r="L9" s="7">
        <v>200</v>
      </c>
      <c r="M9" s="7"/>
      <c r="N9" s="114">
        <v>200</v>
      </c>
      <c r="O9" s="17" t="s">
        <v>38</v>
      </c>
      <c r="P9" s="41" t="s">
        <v>139</v>
      </c>
      <c r="Q9" s="41" t="s">
        <v>133</v>
      </c>
    </row>
    <row r="10" spans="1:17" ht="16.5">
      <c r="A10" s="9">
        <v>10</v>
      </c>
      <c r="B10" s="22" t="s">
        <v>10</v>
      </c>
      <c r="C10" s="21" t="s">
        <v>17</v>
      </c>
      <c r="D10" s="114" t="s">
        <v>18</v>
      </c>
      <c r="E10" s="22" t="s">
        <v>19</v>
      </c>
      <c r="F10" s="116" t="s">
        <v>14</v>
      </c>
      <c r="G10" s="22" t="s">
        <v>20</v>
      </c>
      <c r="H10" s="116" t="s">
        <v>140</v>
      </c>
      <c r="I10" s="24">
        <v>1000</v>
      </c>
      <c r="J10" s="127">
        <v>50</v>
      </c>
      <c r="K10" s="15">
        <v>100</v>
      </c>
      <c r="L10" s="15">
        <v>150</v>
      </c>
      <c r="M10" s="15"/>
      <c r="N10" s="114">
        <v>150</v>
      </c>
      <c r="O10" s="17" t="s">
        <v>31</v>
      </c>
      <c r="P10" s="41" t="s">
        <v>36</v>
      </c>
      <c r="Q10" s="41" t="s">
        <v>131</v>
      </c>
    </row>
    <row r="11" spans="1:17" ht="16.5">
      <c r="A11" s="9">
        <v>14</v>
      </c>
      <c r="B11" s="21" t="s">
        <v>10</v>
      </c>
      <c r="C11" s="17" t="s">
        <v>51</v>
      </c>
      <c r="D11" s="115" t="s">
        <v>52</v>
      </c>
      <c r="E11" s="20" t="s">
        <v>28</v>
      </c>
      <c r="F11" s="115" t="s">
        <v>23</v>
      </c>
      <c r="G11" s="20" t="s">
        <v>53</v>
      </c>
      <c r="H11" s="115" t="s">
        <v>140</v>
      </c>
      <c r="I11" s="20">
        <v>2000</v>
      </c>
      <c r="J11" s="115">
        <v>70</v>
      </c>
      <c r="K11" s="16"/>
      <c r="L11" s="16"/>
      <c r="M11" s="16"/>
      <c r="N11" s="115">
        <v>70</v>
      </c>
      <c r="O11" s="17" t="s">
        <v>38</v>
      </c>
      <c r="P11" s="54" t="s">
        <v>110</v>
      </c>
      <c r="Q11" s="55" t="s">
        <v>131</v>
      </c>
    </row>
    <row r="12" spans="1:17" ht="16.5">
      <c r="A12" s="10">
        <v>15</v>
      </c>
      <c r="B12" s="72" t="s">
        <v>32</v>
      </c>
      <c r="C12" s="72" t="s">
        <v>33</v>
      </c>
      <c r="D12" s="123" t="s">
        <v>34</v>
      </c>
      <c r="E12" s="72" t="s">
        <v>28</v>
      </c>
      <c r="F12" s="135" t="s">
        <v>23</v>
      </c>
      <c r="G12" s="91" t="s">
        <v>35</v>
      </c>
      <c r="H12" s="135" t="s">
        <v>36</v>
      </c>
      <c r="I12" s="72">
        <v>1000</v>
      </c>
      <c r="J12" s="123">
        <v>50</v>
      </c>
      <c r="K12" s="72"/>
      <c r="L12" s="72"/>
      <c r="M12" s="72"/>
      <c r="N12" s="144">
        <v>50</v>
      </c>
      <c r="O12" s="92" t="s">
        <v>36</v>
      </c>
      <c r="P12" s="66" t="s">
        <v>141</v>
      </c>
      <c r="Q12" s="67" t="s">
        <v>131</v>
      </c>
    </row>
    <row r="13" spans="1:17" ht="30.75">
      <c r="A13" s="102">
        <v>16</v>
      </c>
      <c r="B13" s="65" t="s">
        <v>93</v>
      </c>
      <c r="C13" s="65" t="s">
        <v>94</v>
      </c>
      <c r="D13" s="142" t="s">
        <v>95</v>
      </c>
      <c r="E13" s="65" t="s">
        <v>55</v>
      </c>
      <c r="F13" s="139" t="s">
        <v>23</v>
      </c>
      <c r="G13" s="65" t="s">
        <v>96</v>
      </c>
      <c r="H13" s="139" t="s">
        <v>96</v>
      </c>
      <c r="I13" s="101">
        <v>2000</v>
      </c>
      <c r="J13" s="146">
        <v>100</v>
      </c>
      <c r="K13" s="101">
        <v>100</v>
      </c>
      <c r="L13" s="101">
        <v>200</v>
      </c>
      <c r="M13" s="101">
        <v>100</v>
      </c>
      <c r="N13" s="145">
        <v>500</v>
      </c>
      <c r="O13" s="100" t="s">
        <v>97</v>
      </c>
      <c r="P13" s="65" t="s">
        <v>114</v>
      </c>
      <c r="Q13" s="100" t="s">
        <v>131</v>
      </c>
    </row>
    <row r="14" spans="1:17" ht="16.5">
      <c r="A14" s="76">
        <v>17</v>
      </c>
      <c r="B14" s="106" t="s">
        <v>46</v>
      </c>
      <c r="C14" s="78" t="s">
        <v>98</v>
      </c>
      <c r="D14" s="120" t="s">
        <v>66</v>
      </c>
      <c r="E14" s="79" t="s">
        <v>55</v>
      </c>
      <c r="F14" s="125" t="s">
        <v>41</v>
      </c>
      <c r="G14" s="81" t="s">
        <v>53</v>
      </c>
      <c r="H14" s="133" t="s">
        <v>99</v>
      </c>
      <c r="I14" s="108">
        <v>3000</v>
      </c>
      <c r="J14" s="139">
        <v>250</v>
      </c>
      <c r="K14" s="107">
        <v>50</v>
      </c>
      <c r="L14" s="82">
        <v>50</v>
      </c>
      <c r="M14" s="82">
        <v>150</v>
      </c>
      <c r="N14" s="139">
        <v>250</v>
      </c>
      <c r="O14" s="65" t="s">
        <v>16</v>
      </c>
      <c r="P14" s="65" t="s">
        <v>16</v>
      </c>
      <c r="Q14" s="65" t="s">
        <v>133</v>
      </c>
    </row>
    <row r="15" spans="1:17" ht="15" customHeight="1">
      <c r="A15" s="83">
        <v>18</v>
      </c>
      <c r="B15" s="106" t="s">
        <v>10</v>
      </c>
      <c r="C15" s="78" t="s">
        <v>100</v>
      </c>
      <c r="D15" s="120" t="s">
        <v>66</v>
      </c>
      <c r="E15" s="79" t="s">
        <v>55</v>
      </c>
      <c r="F15" s="125" t="s">
        <v>41</v>
      </c>
      <c r="G15" s="81" t="s">
        <v>53</v>
      </c>
      <c r="H15" s="133" t="s">
        <v>99</v>
      </c>
      <c r="I15" s="82">
        <v>3000</v>
      </c>
      <c r="J15" s="129">
        <v>1000</v>
      </c>
      <c r="K15" s="82">
        <v>200</v>
      </c>
      <c r="L15" s="82">
        <v>500</v>
      </c>
      <c r="M15" s="65">
        <v>250</v>
      </c>
      <c r="N15" s="139">
        <v>1000</v>
      </c>
      <c r="O15" s="65" t="s">
        <v>36</v>
      </c>
      <c r="P15" s="65"/>
      <c r="Q15" s="65"/>
    </row>
    <row r="16" spans="1:17" ht="15" customHeight="1">
      <c r="A16" s="87">
        <v>19</v>
      </c>
      <c r="B16" s="77" t="s">
        <v>10</v>
      </c>
      <c r="C16" s="78" t="s">
        <v>101</v>
      </c>
      <c r="D16" s="120" t="s">
        <v>66</v>
      </c>
      <c r="E16" s="79" t="s">
        <v>55</v>
      </c>
      <c r="F16" s="125" t="s">
        <v>102</v>
      </c>
      <c r="G16" s="81" t="s">
        <v>24</v>
      </c>
      <c r="H16" s="133" t="s">
        <v>99</v>
      </c>
      <c r="I16" s="82">
        <v>1000</v>
      </c>
      <c r="J16" s="129">
        <v>100</v>
      </c>
      <c r="K16" s="82">
        <v>50</v>
      </c>
      <c r="L16" s="82">
        <v>50</v>
      </c>
      <c r="M16" s="65"/>
      <c r="N16" s="139">
        <v>100</v>
      </c>
      <c r="O16" s="65" t="s">
        <v>16</v>
      </c>
      <c r="P16" s="65"/>
      <c r="Q16" s="65"/>
    </row>
    <row r="17" spans="1:17" ht="15" customHeight="1">
      <c r="A17" s="75">
        <v>20</v>
      </c>
      <c r="B17" s="86" t="s">
        <v>10</v>
      </c>
      <c r="C17" s="78" t="s">
        <v>103</v>
      </c>
      <c r="D17" s="120" t="s">
        <v>66</v>
      </c>
      <c r="E17" s="79" t="s">
        <v>55</v>
      </c>
      <c r="F17" s="125" t="s">
        <v>41</v>
      </c>
      <c r="G17" s="81" t="s">
        <v>53</v>
      </c>
      <c r="H17" s="133" t="s">
        <v>99</v>
      </c>
      <c r="I17" s="82">
        <v>1000</v>
      </c>
      <c r="J17" s="129">
        <v>100</v>
      </c>
      <c r="K17" s="82">
        <v>50</v>
      </c>
      <c r="L17" s="82">
        <v>50</v>
      </c>
      <c r="M17" s="65"/>
      <c r="N17" s="139">
        <v>100</v>
      </c>
      <c r="O17" s="65" t="s">
        <v>16</v>
      </c>
      <c r="P17" s="65"/>
      <c r="Q17" s="65"/>
    </row>
    <row r="18" spans="1:17" ht="15" customHeight="1">
      <c r="A18" t="s">
        <v>104</v>
      </c>
      <c r="N18" s="122">
        <v>6670</v>
      </c>
    </row>
  </sheetData>
  <sortState xmlns:xlrd2="http://schemas.microsoft.com/office/spreadsheetml/2017/richdata2" ref="A2:Q11">
    <sortCondition descending="1" ref="N2:N11"/>
  </sortState>
  <dataValidations count="1">
    <dataValidation type="list" allowBlank="1" showInputMessage="1" showErrorMessage="1" sqref="F12 F2:F10 F14:F17" xr:uid="{39B97768-0DD7-4D87-82EE-BCC3D80FFD21}">
      <formula1>"Implementation,Appraisal,Negotiation,Completed,Shelved"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9ab458-0ba2-448e-996e-7f307beff81a">
      <Terms xmlns="http://schemas.microsoft.com/office/infopath/2007/PartnerControls"/>
    </lcf76f155ced4ddcb4097134ff3c332f>
    <TaxCatchAll xmlns="f3424db4-58a1-402d-8699-882db81675d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FBEDAED4CF7747A7306D41812CE4D2" ma:contentTypeVersion="10" ma:contentTypeDescription="Create a new document." ma:contentTypeScope="" ma:versionID="d8d410dfb1e838293ac115a5d0302e05">
  <xsd:schema xmlns:xsd="http://www.w3.org/2001/XMLSchema" xmlns:xs="http://www.w3.org/2001/XMLSchema" xmlns:p="http://schemas.microsoft.com/office/2006/metadata/properties" xmlns:ns2="1f9ab458-0ba2-448e-996e-7f307beff81a" xmlns:ns3="f3424db4-58a1-402d-8699-882db81675dd" targetNamespace="http://schemas.microsoft.com/office/2006/metadata/properties" ma:root="true" ma:fieldsID="59a5629415261cbe40a1220bef298e99" ns2:_="" ns3:_="">
    <xsd:import namespace="1f9ab458-0ba2-448e-996e-7f307beff81a"/>
    <xsd:import namespace="f3424db4-58a1-402d-8699-882db81675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ab458-0ba2-448e-996e-7f307beff8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7ab9a95-488f-4243-b936-600481f895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24db4-58a1-402d-8699-882db81675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39969a2-473e-49f4-8393-a580cde119f6}" ma:internalName="TaxCatchAll" ma:showField="CatchAllData" ma:web="f3424db4-58a1-402d-8699-882db81675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EC255D-4BCD-4900-A4A6-1AA509B84C21}"/>
</file>

<file path=customXml/itemProps2.xml><?xml version="1.0" encoding="utf-8"?>
<ds:datastoreItem xmlns:ds="http://schemas.openxmlformats.org/officeDocument/2006/customXml" ds:itemID="{8AF53B4D-2E54-475F-8F0C-FFEDED11DD86}"/>
</file>

<file path=customXml/itemProps3.xml><?xml version="1.0" encoding="utf-8"?>
<ds:datastoreItem xmlns:ds="http://schemas.openxmlformats.org/officeDocument/2006/customXml" ds:itemID="{BED793CA-5427-4EDE-A02B-0D5B96E4C7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Moeketsi Khuele</dc:creator>
  <cp:keywords/>
  <dc:description/>
  <cp:lastModifiedBy>Mabataung Tsinyane</cp:lastModifiedBy>
  <cp:revision/>
  <dcterms:created xsi:type="dcterms:W3CDTF">2023-12-04T10:45:53Z</dcterms:created>
  <dcterms:modified xsi:type="dcterms:W3CDTF">2026-08-27T09:10:26Z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0x0101003FFBEDAED4CF7747A7306D41812CE4D2</vt:lpwstr>
  </property>
  <property fmtid="{D5CDD505-2E9C-101B-9397-08002B2CF9AE}" pid="3" name="MediaServiceImageTags">
    <vt:lpwstr/>
  </property>
</Properties>
</file>